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ilton Rocha\Desktop\"/>
    </mc:Choice>
  </mc:AlternateContent>
  <xr:revisionPtr revIDLastSave="0" documentId="13_ncr:1_{762DC05B-971B-4167-86E4-ECCFC06F4743}" xr6:coauthVersionLast="43" xr6:coauthVersionMax="43" xr10:uidLastSave="{00000000-0000-0000-0000-000000000000}"/>
  <bookViews>
    <workbookView xWindow="-120" yWindow="-120" windowWidth="38640" windowHeight="15840" xr2:uid="{7719EA81-BB47-4718-A817-D9CBA384D0BB}"/>
  </bookViews>
  <sheets>
    <sheet name="Lista de Conferencia" sheetId="4" r:id="rId1"/>
    <sheet name="Lista" sheetId="2" state="hidden" r:id="rId2"/>
  </sheets>
  <definedNames>
    <definedName name="_xlnm.Print_Area" localSheetId="0">'Lista de Conferencia'!$A$1:$E$99</definedName>
    <definedName name="Avaliação">Lista!$A$2:$A$4</definedName>
    <definedName name="_xlnm.Print_Titles" localSheetId="0">'Lista de Conferencia'!$1:$6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5" i="4" l="1"/>
  <c r="E80" i="4"/>
  <c r="E76" i="4"/>
  <c r="E71" i="4"/>
  <c r="E67" i="4"/>
  <c r="E62" i="4"/>
  <c r="E57" i="4"/>
  <c r="E52" i="4"/>
  <c r="E48" i="4"/>
  <c r="E41" i="4"/>
  <c r="E36" i="4"/>
  <c r="E29" i="4"/>
  <c r="E22" i="4"/>
  <c r="E17" i="4"/>
  <c r="E8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4" i="4"/>
  <c r="D83" i="4"/>
  <c r="D82" i="4"/>
  <c r="D81" i="4"/>
  <c r="D79" i="4"/>
  <c r="D78" i="4"/>
  <c r="D77" i="4"/>
  <c r="D75" i="4"/>
  <c r="D74" i="4"/>
  <c r="D73" i="4"/>
  <c r="D72" i="4"/>
  <c r="D70" i="4"/>
  <c r="D69" i="4"/>
  <c r="D68" i="4"/>
  <c r="D66" i="4"/>
  <c r="D65" i="4"/>
  <c r="D64" i="4"/>
  <c r="D63" i="4"/>
  <c r="D61" i="4"/>
  <c r="D60" i="4"/>
  <c r="D59" i="4"/>
  <c r="D58" i="4"/>
  <c r="D56" i="4"/>
  <c r="D55" i="4"/>
  <c r="D54" i="4"/>
  <c r="D53" i="4"/>
  <c r="D51" i="4"/>
  <c r="D50" i="4"/>
  <c r="D49" i="4"/>
  <c r="D47" i="4"/>
  <c r="D46" i="4"/>
  <c r="D45" i="4"/>
  <c r="D44" i="4"/>
  <c r="D43" i="4"/>
  <c r="D42" i="4"/>
  <c r="D40" i="4"/>
  <c r="D39" i="4"/>
  <c r="D38" i="4"/>
  <c r="D37" i="4"/>
  <c r="D35" i="4"/>
  <c r="D34" i="4"/>
  <c r="D33" i="4"/>
  <c r="D32" i="4"/>
  <c r="D31" i="4"/>
  <c r="D30" i="4"/>
  <c r="D28" i="4"/>
  <c r="D27" i="4"/>
  <c r="D26" i="4"/>
  <c r="D25" i="4"/>
  <c r="D24" i="4"/>
  <c r="D23" i="4"/>
  <c r="D21" i="4"/>
  <c r="D20" i="4"/>
  <c r="D19" i="4"/>
  <c r="D18" i="4"/>
  <c r="D16" i="4"/>
  <c r="D15" i="4"/>
  <c r="D14" i="4"/>
  <c r="D13" i="4"/>
  <c r="D12" i="4"/>
  <c r="D11" i="4"/>
  <c r="D10" i="4"/>
  <c r="D9" i="4"/>
  <c r="H23" i="4" l="1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H24" i="4" l="1"/>
  <c r="I24" i="4"/>
  <c r="K11" i="4" l="1"/>
</calcChain>
</file>

<file path=xl/sharedStrings.xml><?xml version="1.0" encoding="utf-8"?>
<sst xmlns="http://schemas.openxmlformats.org/spreadsheetml/2006/main" count="231" uniqueCount="124">
  <si>
    <t>ID</t>
  </si>
  <si>
    <t>Descrição</t>
  </si>
  <si>
    <t>Caixa de Luva</t>
  </si>
  <si>
    <t>Iluminação de Emergência</t>
  </si>
  <si>
    <t>Tomadas</t>
  </si>
  <si>
    <t>Extintor ABC 6kg</t>
  </si>
  <si>
    <t>Janela de Iluminação Natural</t>
  </si>
  <si>
    <t>Chave de Caixa</t>
  </si>
  <si>
    <t>Cavalete</t>
  </si>
  <si>
    <t>Porta Veneziana ou Corta fogo</t>
  </si>
  <si>
    <t>Nota de dispositivo de selo da Medição</t>
  </si>
  <si>
    <t>Nota da Medição</t>
  </si>
  <si>
    <t>CHECKLIST DE PROJETO DE SUBESTAÇÃO</t>
  </si>
  <si>
    <t>Completo</t>
  </si>
  <si>
    <t>Revisão</t>
  </si>
  <si>
    <t>Lista Suspensa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</si>
  <si>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</si>
  <si>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</si>
  <si>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</si>
  <si>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</si>
  <si>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</si>
  <si>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</si>
  <si>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</si>
  <si>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</si>
  <si>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</si>
  <si>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</si>
  <si>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</si>
  <si>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</si>
  <si>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</si>
  <si>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</si>
  <si>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</si>
  <si>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Resumo das Atividades</t>
  </si>
  <si>
    <t>Notas Mínimas</t>
  </si>
  <si>
    <t>Luminária da Subestação</t>
  </si>
  <si>
    <t>Caixa de Chaves</t>
  </si>
  <si>
    <t>Plataforma Basculante</t>
  </si>
  <si>
    <t>TP Auxiliar - Iluminação e Tomada</t>
  </si>
  <si>
    <t>A)</t>
  </si>
  <si>
    <t>Posicionamento Geográfico (Norte)</t>
  </si>
  <si>
    <t>Divisa da Propriedade</t>
  </si>
  <si>
    <t>B)</t>
  </si>
  <si>
    <t>C)</t>
  </si>
  <si>
    <t>D)</t>
  </si>
  <si>
    <t>E)</t>
  </si>
  <si>
    <t>F)</t>
  </si>
  <si>
    <t>Identificação da Via Pública</t>
  </si>
  <si>
    <t>Indicação do Poste da Concessionária</t>
  </si>
  <si>
    <t>Distância da SE à Divisa (Poste) ?</t>
  </si>
  <si>
    <t>Título do Detalhe e Escala</t>
  </si>
  <si>
    <t>Cotas e Dimensões</t>
  </si>
  <si>
    <t>Comparar Chamadas com Legenda</t>
  </si>
  <si>
    <t>MALHA DE ATERRAMENTO</t>
  </si>
  <si>
    <t>DESENHO DOS CORTES</t>
  </si>
  <si>
    <t>Distâncias das Hastes</t>
  </si>
  <si>
    <t>Quantidade de Hastes</t>
  </si>
  <si>
    <t>Bitola do Condutor de Aterramento</t>
  </si>
  <si>
    <t>Pontos de Derivação para Aterramento</t>
  </si>
  <si>
    <t xml:space="preserve">E) </t>
  </si>
  <si>
    <t xml:space="preserve">G) </t>
  </si>
  <si>
    <t>DETALHE DO ATERRAMENTO</t>
  </si>
  <si>
    <t>Tipo de Haste (CopperWeld/Cantoneira)</t>
  </si>
  <si>
    <t>Tipo de Conexão</t>
  </si>
  <si>
    <t>Dimensões da Caixa</t>
  </si>
  <si>
    <t>Chamadas</t>
  </si>
  <si>
    <t>Correspondência do corte com desenho de Planta</t>
  </si>
  <si>
    <t>H)</t>
  </si>
  <si>
    <t>Posição do Poste da Concessionária</t>
  </si>
  <si>
    <t>DETALHE DE MEDIÇÃO</t>
  </si>
  <si>
    <t>Correspondência de Vista</t>
  </si>
  <si>
    <t>Padrão da Caixa</t>
  </si>
  <si>
    <t>DIAGRAMA DE LIGAÇÃO DO RELÉ</t>
  </si>
  <si>
    <t>TC de Proteção</t>
  </si>
  <si>
    <t>Saídas de TRIP</t>
  </si>
  <si>
    <t>Alimentação</t>
  </si>
  <si>
    <t>Canais de Corrente</t>
  </si>
  <si>
    <t>Botões Adicionais ou Comandos</t>
  </si>
  <si>
    <t>LEGENDA</t>
  </si>
  <si>
    <t>Fazer Leiura Item a Item</t>
  </si>
  <si>
    <t>DESCRIÇÃO</t>
  </si>
  <si>
    <t>STATUS</t>
  </si>
  <si>
    <t>Encontrar Todos os Itens no Projeto</t>
  </si>
  <si>
    <t>Verificar se não há itens duplicados</t>
  </si>
  <si>
    <t>DIAGRAMA UNIFILAR</t>
  </si>
  <si>
    <t>Geração</t>
  </si>
  <si>
    <t>Correspondência com o Sistema do Cliente</t>
  </si>
  <si>
    <t>Itens de Legenda</t>
  </si>
  <si>
    <t>QUADRO DE CARGAS</t>
  </si>
  <si>
    <t>Quantitativo e Tipos de Cargas</t>
  </si>
  <si>
    <t>Demanda Contratada</t>
  </si>
  <si>
    <t>Fator de Demanda</t>
  </si>
  <si>
    <t>Correspondência com Coordenograma</t>
  </si>
  <si>
    <t>DETALHE CONEXÃO COM A REDE</t>
  </si>
  <si>
    <t>Distâncias e Cotas</t>
  </si>
  <si>
    <t>Indicação do Poste</t>
  </si>
  <si>
    <t>DETALHE DA CAIXA DE CONEXÃO</t>
  </si>
  <si>
    <t>Modelo da Caixa</t>
  </si>
  <si>
    <t>SITUAÇÃO E LOCALIZAÇÃO</t>
  </si>
  <si>
    <t>VISTA PLANTA</t>
  </si>
  <si>
    <t>Indicação dos Cortes</t>
  </si>
  <si>
    <t>NOTAS DE PROJETO</t>
  </si>
  <si>
    <t>Termo de Responsabilidade</t>
  </si>
  <si>
    <t>FORMATO</t>
  </si>
  <si>
    <t>Dados do Cliente</t>
  </si>
  <si>
    <t>Número da ART</t>
  </si>
  <si>
    <t>Responsável Técnico</t>
  </si>
  <si>
    <t>Carimbo Padrão da Concessionária</t>
  </si>
  <si>
    <t>ITENS CHAVE DE PROJETO</t>
  </si>
  <si>
    <t>I)</t>
  </si>
  <si>
    <t>J)</t>
  </si>
  <si>
    <t>K)</t>
  </si>
  <si>
    <t>L)</t>
  </si>
  <si>
    <t>M)</t>
  </si>
  <si>
    <t>N)</t>
  </si>
  <si>
    <t>TOTAL</t>
  </si>
  <si>
    <t>Conferido</t>
  </si>
  <si>
    <t>Acesse nosso site</t>
  </si>
  <si>
    <t>Nos siga no Insta</t>
  </si>
  <si>
    <t>Data</t>
  </si>
  <si>
    <t>ID. Projeto:</t>
  </si>
  <si>
    <t>Conferido por:</t>
  </si>
  <si>
    <t>Cliente:</t>
  </si>
  <si>
    <t>Limpar</t>
  </si>
  <si>
    <t/>
  </si>
  <si>
    <t>Imprimir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</si>
</sst>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/>
      <right/>
      <top/>
      <bottom style="dotted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/>
      <bottom/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 style="dotted">
        <color theme="1" tint="0.499984740745262"/>
      </right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/>
      <diagonal/>
    </border>
    <border>
      <left style="dotted">
        <color theme="1" tint="4.9989318521683403E-2"/>
      </left>
      <right/>
      <top style="dotted">
        <color theme="1" tint="4.9989318521683403E-2"/>
      </top>
      <bottom/>
      <diagonal/>
    </border>
    <border>
      <left/>
      <right/>
      <top style="dotted">
        <color theme="1" tint="4.9989318521683403E-2"/>
      </top>
      <bottom/>
      <diagonal/>
    </border>
    <border>
      <left/>
      <right style="dotted">
        <color theme="1" tint="4.9989318521683403E-2"/>
      </right>
      <top style="dotted">
        <color theme="1" tint="4.9989318521683403E-2"/>
      </top>
      <bottom/>
      <diagonal/>
    </border>
    <border>
      <left style="dotted">
        <color theme="1" tint="4.9989318521683403E-2"/>
      </left>
      <right/>
      <top/>
      <bottom style="dotted">
        <color theme="1" tint="4.9989318521683403E-2"/>
      </bottom>
      <diagonal/>
    </border>
    <border>
      <left/>
      <right/>
      <top/>
      <bottom style="dotted">
        <color theme="1" tint="4.9989318521683403E-2"/>
      </bottom>
      <diagonal/>
    </border>
    <border>
      <left/>
      <right style="dotted">
        <color theme="1" tint="4.9989318521683403E-2"/>
      </right>
      <top/>
      <bottom style="dotted">
        <color theme="1" tint="4.9989318521683403E-2"/>
      </bottom>
      <diagonal/>
    </border>
    <border>
      <left style="dotted">
        <color theme="1" tint="0.14993743705557422"/>
      </left>
      <right/>
      <top style="dotted">
        <color theme="1" tint="4.9989318521683403E-2"/>
      </top>
      <bottom style="dotted">
        <color theme="1" tint="0.14993743705557422"/>
      </bottom>
      <diagonal/>
    </border>
    <border>
      <left/>
      <right/>
      <top style="dotted">
        <color theme="1" tint="4.9989318521683403E-2"/>
      </top>
      <bottom style="dotted">
        <color theme="1" tint="0.14993743705557422"/>
      </bottom>
      <diagonal/>
    </border>
    <border>
      <left/>
      <right style="dotted">
        <color theme="1" tint="0.14993743705557422"/>
      </right>
      <top style="dotted">
        <color theme="1" tint="4.9989318521683403E-2"/>
      </top>
      <bottom style="dotted">
        <color theme="1" tint="0.14993743705557422"/>
      </bottom>
      <diagonal/>
    </border>
    <border>
      <left style="dotted">
        <color theme="1" tint="0.14993743705557422"/>
      </left>
      <right/>
      <top style="dotted">
        <color theme="1" tint="0.14993743705557422"/>
      </top>
      <bottom style="dotted">
        <color theme="1" tint="0.14993743705557422"/>
      </bottom>
      <diagonal/>
    </border>
    <border>
      <left/>
      <right/>
      <top style="dotted">
        <color theme="1" tint="0.14993743705557422"/>
      </top>
      <bottom style="dotted">
        <color theme="1" tint="0.14993743705557422"/>
      </bottom>
      <diagonal/>
    </border>
    <border>
      <left/>
      <right style="dotted">
        <color theme="1" tint="0.14993743705557422"/>
      </right>
      <top style="dotted">
        <color theme="1" tint="0.14993743705557422"/>
      </top>
      <bottom style="dotted">
        <color theme="1" tint="0.14993743705557422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3" borderId="0" xfId="0" applyFont="1" applyFill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4" fillId="0" borderId="0" xfId="0" applyFont="1"/>
    <xf numFmtId="0" fontId="0" fillId="0" borderId="1" xfId="0" applyFont="1" applyFill="1" applyBorder="1" applyAlignment="1">
      <alignment vertical="center"/>
    </xf>
    <xf numFmtId="0" fontId="0" fillId="0" borderId="5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ont="1" applyFill="1" applyBorder="1" applyAlignment="1">
      <alignment horizontal="left" vertical="center" indent="1"/>
    </xf>
    <xf numFmtId="0" fontId="0" fillId="4" borderId="1" xfId="0" applyFont="1" applyFill="1" applyBorder="1" applyAlignment="1">
      <alignment horizontal="center" vertical="center"/>
    </xf>
    <xf numFmtId="49" fontId="0" fillId="4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vertical="center"/>
    </xf>
    <xf numFmtId="0" fontId="1" fillId="6" borderId="2" xfId="0" applyFont="1" applyFill="1" applyBorder="1" applyAlignment="1">
      <alignment vertical="center"/>
    </xf>
    <xf numFmtId="10" fontId="1" fillId="6" borderId="3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4" fillId="0" borderId="0" xfId="0" applyFont="1" applyAlignment="1">
      <alignment horizontal="center" vertical="top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1" xfId="0" applyFont="1" applyFill="1" applyBorder="1" applyAlignment="1">
      <alignment vertical="center"/>
    </xf>
    <xf numFmtId="0" fontId="9" fillId="7" borderId="14" xfId="0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4" borderId="5" xfId="0" applyNumberFormat="1" applyFill="1" applyBorder="1" applyAlignment="1">
      <alignment horizontal="center" vertical="center"/>
    </xf>
    <xf numFmtId="49" fontId="0" fillId="4" borderId="7" xfId="0" applyNumberForma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10" fillId="7" borderId="15" xfId="0" applyFont="1" applyFill="1" applyBorder="1" applyAlignment="1">
      <alignment horizontal="left" vertical="center"/>
    </xf>
    <xf numFmtId="0" fontId="10" fillId="7" borderId="16" xfId="0" applyFont="1" applyFill="1" applyBorder="1" applyAlignment="1">
      <alignment horizontal="left" vertical="center"/>
    </xf>
    <xf numFmtId="0" fontId="10" fillId="7" borderId="17" xfId="0" applyFont="1" applyFill="1" applyBorder="1" applyAlignment="1">
      <alignment horizontal="left" vertical="center"/>
    </xf>
    <xf numFmtId="14" fontId="10" fillId="7" borderId="18" xfId="0" applyNumberFormat="1" applyFont="1" applyFill="1" applyBorder="1" applyAlignment="1">
      <alignment horizontal="left" vertical="center"/>
    </xf>
    <xf numFmtId="0" fontId="10" fillId="7" borderId="19" xfId="0" applyFont="1" applyFill="1" applyBorder="1" applyAlignment="1">
      <alignment horizontal="left" vertical="center"/>
    </xf>
    <xf numFmtId="0" fontId="10" fillId="7" borderId="20" xfId="0" applyFont="1" applyFill="1" applyBorder="1" applyAlignment="1">
      <alignment horizontal="left" vertical="center"/>
    </xf>
    <xf numFmtId="0" fontId="10" fillId="7" borderId="18" xfId="0" applyFont="1" applyFill="1" applyBorder="1" applyAlignment="1">
      <alignment horizontal="left" vertical="center"/>
    </xf>
  </cellXfs>
  <cellStyles count="1">
    <cellStyle name="Normal" xfId="0" builtinId="0"/>
  </cellStyles>
  <dxfs count="45"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1958553019774"/>
          <c:y val="3.2133186298000591E-2"/>
          <c:w val="0.32754925190890277"/>
          <c:h val="0.96786681370199945"/>
        </c:manualLayout>
      </c:layout>
      <c:doughnutChart>
        <c:varyColors val="1"/>
        <c:ser>
          <c:idx val="0"/>
          <c:order val="0"/>
          <c:tx>
            <c:strRef>
              <c:f>'Lista de Conferencia'!$G$24:$I$24</c:f>
              <c:strCache>
                <c:ptCount val="3"/>
                <c:pt idx="0">
                  <c:v>TOTAL</c:v>
                </c:pt>
                <c:pt idx="1">
                  <c:v>8</c:v>
                </c:pt>
                <c:pt idx="2">
                  <c:v>69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B4B-4383-B898-6FE979E746C3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4B-4383-B898-6FE979E746C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4B4B-4383-B898-6FE979E746C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4B4B-4383-B898-6FE979E746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'Lista de Conferencia'!$H$8:$I$8</c:f>
              <c:strCache>
                <c:ptCount val="2"/>
                <c:pt idx="0">
                  <c:v>Completo</c:v>
                </c:pt>
                <c:pt idx="1">
                  <c:v>Revisão</c:v>
                </c:pt>
              </c:strCache>
            </c:strRef>
          </c:cat>
          <c:val>
            <c:numRef>
              <c:f>'Lista de Conferencia'!$H$24:$I$24</c:f>
              <c:numCache>
                <c:formatCode>General</c:formatCode>
                <c:ptCount val="2"/>
                <c:pt idx="0">
                  <c:v>8</c:v>
                </c:pt>
                <c:pt idx="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B-4383-B898-6FE979E74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219692285503933"/>
          <c:y val="0.19314770122574351"/>
          <c:w val="0.28714107365792757"/>
          <c:h val="0.64382639245731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hyperlink" Target="https://meshengenharia.com.br/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10" Type="http://schemas.microsoft.com/office/2007/relationships/hdphoto" Target="../media/hdphoto2.wdp"/><Relationship Id="rId4" Type="http://schemas.openxmlformats.org/officeDocument/2006/relationships/hyperlink" Target="https://www.instagram.com/meshengenharia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15688</xdr:colOff>
      <xdr:row>0</xdr:row>
      <xdr:rowOff>0</xdr:rowOff>
    </xdr:from>
    <xdr:to>
      <xdr:col>8</xdr:col>
      <xdr:colOff>996202</xdr:colOff>
      <xdr:row>5</xdr:row>
      <xdr:rowOff>156883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FC1F58-921E-40A9-B7EA-2B79CA6F6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58</xdr:col>
      <xdr:colOff>28575</xdr:colOff>
      <xdr:row>0</xdr:row>
      <xdr:rowOff>0</xdr:rowOff>
    </xdr:from>
    <xdr:ext cx="1300624" cy="485775"/>
    <xdr:pic>
      <xdr:nvPicPr>
        <xdr:cNvPr id="4" name="Pictur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0D70E5-30F5-42C9-B9E3-3235B91BB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0525" y="38100"/>
          <a:ext cx="1300624" cy="485775"/>
        </a:xfrm>
        <a:prstGeom prst="rect">
          <a:avLst/>
        </a:prstGeom>
      </xdr:spPr>
    </xdr:pic>
    <xdr:clientData/>
  </xdr:oneCellAnchor>
  <xdr:twoCellAnchor editAs="oneCell">
    <xdr:from>
      <xdr:col>45</xdr:col>
      <xdr:colOff>38100</xdr:colOff>
      <xdr:row>0</xdr:row>
      <xdr:rowOff>0</xdr:rowOff>
    </xdr:from>
    <xdr:to>
      <xdr:col>45</xdr:col>
      <xdr:colOff>575204</xdr:colOff>
      <xdr:row>1</xdr:row>
      <xdr:rowOff>18369</xdr:rowOff>
    </xdr:to>
    <xdr:pic>
      <xdr:nvPicPr>
        <xdr:cNvPr id="5" name="Gráfic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4ABA7F1-2C43-4B20-B646-786A9CDCE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95900" y="19050"/>
          <a:ext cx="537104" cy="552450"/>
        </a:xfrm>
        <a:prstGeom prst="rect">
          <a:avLst/>
        </a:prstGeom>
      </xdr:spPr>
    </xdr:pic>
    <xdr:clientData/>
  </xdr:twoCellAnchor>
  <xdr:oneCellAnchor>
    <xdr:from>
      <xdr:col>104</xdr:col>
      <xdr:colOff>38100</xdr:colOff>
      <xdr:row>0</xdr:row>
      <xdr:rowOff>0</xdr:rowOff>
    </xdr:from>
    <xdr:ext cx="537104" cy="552450"/>
    <xdr:pic>
      <xdr:nvPicPr>
        <xdr:cNvPr id="6" name="Gráfic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BE33E42-35C9-45C3-9D80-8AB625EA0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277850" y="19050"/>
          <a:ext cx="537104" cy="552450"/>
        </a:xfrm>
        <a:prstGeom prst="rect">
          <a:avLst/>
        </a:prstGeom>
      </xdr:spPr>
    </xdr:pic>
    <xdr:clientData/>
  </xdr:oneCellAnchor>
  <xdr:twoCellAnchor editAs="oneCell">
    <xdr:from>
      <xdr:col>4</xdr:col>
      <xdr:colOff>381984</xdr:colOff>
      <xdr:row>0</xdr:row>
      <xdr:rowOff>57018</xdr:rowOff>
    </xdr:from>
    <xdr:to>
      <xdr:col>4</xdr:col>
      <xdr:colOff>802822</xdr:colOff>
      <xdr:row>0</xdr:row>
      <xdr:rowOff>495432</xdr:rowOff>
    </xdr:to>
    <xdr:pic>
      <xdr:nvPicPr>
        <xdr:cNvPr id="17" name="Gráfic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0D7477-399E-4FFC-8650-DDD29A84D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79270" y="57018"/>
          <a:ext cx="420838" cy="438414"/>
        </a:xfrm>
        <a:prstGeom prst="rect">
          <a:avLst/>
        </a:prstGeom>
      </xdr:spPr>
    </xdr:pic>
    <xdr:clientData/>
  </xdr:twoCellAnchor>
  <xdr:twoCellAnchor editAs="oneCell">
    <xdr:from>
      <xdr:col>0</xdr:col>
      <xdr:colOff>85396</xdr:colOff>
      <xdr:row>0</xdr:row>
      <xdr:rowOff>83050</xdr:rowOff>
    </xdr:from>
    <xdr:to>
      <xdr:col>1</xdr:col>
      <xdr:colOff>488028</xdr:colOff>
      <xdr:row>0</xdr:row>
      <xdr:rowOff>446361</xdr:rowOff>
    </xdr:to>
    <xdr:pic>
      <xdr:nvPicPr>
        <xdr:cNvPr id="18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08BC41-2BA7-4EE6-88DB-3DBFA9CE0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6" y="83050"/>
          <a:ext cx="954425" cy="36331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114300</xdr:rowOff>
    </xdr:from>
    <xdr:to>
      <xdr:col>6</xdr:col>
      <xdr:colOff>20332</xdr:colOff>
      <xdr:row>7</xdr:row>
      <xdr:rowOff>36979</xdr:rowOff>
    </xdr:to>
    <xdr:pic macro="[0]!Limpar_Dados">
      <xdr:nvPicPr>
        <xdr:cNvPr id="20" name="Imagem 19">
          <a:extLst>
            <a:ext uri="{FF2B5EF4-FFF2-40B4-BE49-F238E27FC236}">
              <a16:creationId xmlns:a16="http://schemas.microsoft.com/office/drawing/2014/main" id="{C9309F3C-5720-431F-A8F8-1E747A35D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foregroundMark x1="59184" y1="54490" x2="59184" y2="54490"/>
                      <a14:foregroundMark x1="48980" y1="57143" x2="48980" y2="57143"/>
                      <a14:foregroundMark x1="39184" y1="57143" x2="39184" y2="57143"/>
                      <a14:foregroundMark x1="49388" y1="28980" x2="49388" y2="2898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00125"/>
          <a:ext cx="629932" cy="627529"/>
        </a:xfrm>
        <a:prstGeom prst="rect">
          <a:avLst/>
        </a:prstGeom>
      </xdr:spPr>
    </xdr:pic>
    <xdr:clientData/>
  </xdr:twoCellAnchor>
  <xdr:twoCellAnchor editAs="oneCell">
    <xdr:from>
      <xdr:col>5</xdr:col>
      <xdr:colOff>33617</xdr:colOff>
      <xdr:row>0</xdr:row>
      <xdr:rowOff>208991</xdr:rowOff>
    </xdr:from>
    <xdr:to>
      <xdr:col>5</xdr:col>
      <xdr:colOff>569308</xdr:colOff>
      <xdr:row>2</xdr:row>
      <xdr:rowOff>22412</xdr:rowOff>
    </xdr:to>
    <xdr:pic macro="[0]!Impressão">
      <xdr:nvPicPr>
        <xdr:cNvPr id="26" name="Imagem 25">
          <a:extLst>
            <a:ext uri="{FF2B5EF4-FFF2-40B4-BE49-F238E27FC236}">
              <a16:creationId xmlns:a16="http://schemas.microsoft.com/office/drawing/2014/main" id="{62E9FB6C-DFA1-4F1D-8534-2E360D57AE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biLevel thresh="75000"/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7933" b="68750" l="18029" r="79327">
                      <a14:foregroundMark x1="26442" y1="27404" x2="26442" y2="27404"/>
                      <a14:foregroundMark x1="41587" y1="14663" x2="41587" y2="14663"/>
                      <a14:foregroundMark x1="54087" y1="14423" x2="54087" y2="14423"/>
                      <a14:foregroundMark x1="29327" y1="25962" x2="29327" y2="25962"/>
                      <a14:foregroundMark x1="32933" y1="17788" x2="32933" y2="17788"/>
                      <a14:foregroundMark x1="32452" y1="17788" x2="32452" y2="17788"/>
                      <a14:foregroundMark x1="39183" y1="17308" x2="56731" y2="15144"/>
                      <a14:foregroundMark x1="56731" y1="15144" x2="70192" y2="16587"/>
                      <a14:foregroundMark x1="70192" y1="16587" x2="76202" y2="34375"/>
                      <a14:foregroundMark x1="72115" y1="31971" x2="75481" y2="45433"/>
                      <a14:foregroundMark x1="75481" y1="45433" x2="71875" y2="57452"/>
                      <a14:foregroundMark x1="71875" y1="57452" x2="61298" y2="65144"/>
                      <a14:foregroundMark x1="61298" y1="65144" x2="47596" y2="66106"/>
                      <a14:foregroundMark x1="47596" y1="66106" x2="37019" y2="60337"/>
                      <a14:foregroundMark x1="37019" y1="60337" x2="28365" y2="51442"/>
                      <a14:foregroundMark x1="28365" y1="51442" x2="24760" y2="39904"/>
                      <a14:foregroundMark x1="24760" y1="39904" x2="28606" y2="27885"/>
                      <a14:foregroundMark x1="28606" y1="27885" x2="37019" y2="15385"/>
                      <a14:foregroundMark x1="22356" y1="33894" x2="18269" y2="37500"/>
                      <a14:foregroundMark x1="45673" y1="12740" x2="49760" y2="8413"/>
                      <a14:foregroundMark x1="75962" y1="40625" x2="79327" y2="38702"/>
                      <a14:foregroundMark x1="29808" y1="29327" x2="35337" y2="18029"/>
                      <a14:foregroundMark x1="35337" y1="18029" x2="41106" y2="12500"/>
                      <a14:foregroundMark x1="33894" y1="36779" x2="33894" y2="36779"/>
                      <a14:foregroundMark x1="41106" y1="36779" x2="41106" y2="36779"/>
                      <a14:foregroundMark x1="55769" y1="47115" x2="55769" y2="47115"/>
                      <a14:foregroundMark x1="54567" y1="47115" x2="54567" y2="47115"/>
                      <a14:foregroundMark x1="50481" y1="47596" x2="50481" y2="47596"/>
                      <a14:foregroundMark x1="47356" y1="48317" x2="47356" y2="48317"/>
                      <a14:foregroundMark x1="49279" y1="49760" x2="49279" y2="49760"/>
                      <a14:foregroundMark x1="49279" y1="50962" x2="49279" y2="50962"/>
                      <a14:foregroundMark x1="49279" y1="52404" x2="49279" y2="52404"/>
                      <a14:foregroundMark x1="49519" y1="53125" x2="49519" y2="53125"/>
                      <a14:foregroundMark x1="50481" y1="52163" x2="50481" y2="52163"/>
                      <a14:foregroundMark x1="49279" y1="52163" x2="49279" y2="52163"/>
                      <a14:foregroundMark x1="47837" y1="51923" x2="47837" y2="51923"/>
                      <a14:foregroundMark x1="45913" y1="51923" x2="45913" y2="51923"/>
                      <a14:foregroundMark x1="36779" y1="57452" x2="40385" y2="45913"/>
                      <a14:foregroundMark x1="40385" y1="45913" x2="53125" y2="47115"/>
                      <a14:foregroundMark x1="53125" y1="47115" x2="47356" y2="52644"/>
                      <a14:foregroundMark x1="43990" y1="50721" x2="55288" y2="56971"/>
                      <a14:foregroundMark x1="55288" y1="56971" x2="60337" y2="47596"/>
                      <a14:foregroundMark x1="57212" y1="46394" x2="49760" y2="57212"/>
                      <a14:foregroundMark x1="49760" y1="57212" x2="42788" y2="57452"/>
                      <a14:foregroundMark x1="54808" y1="57212" x2="59135" y2="47356"/>
                      <a14:foregroundMark x1="57933" y1="45913" x2="59135" y2="57692"/>
                      <a14:foregroundMark x1="41106" y1="36538" x2="41106" y2="36538"/>
                      <a14:foregroundMark x1="50481" y1="68750" x2="47115" y2="68269"/>
                      <a14:backgroundMark x1="44231" y1="41106" x2="44231" y2="41106"/>
                    </a14:backgroundRemoval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6827" t="6972" r="17068" b="28365"/>
        <a:stretch/>
      </xdr:blipFill>
      <xdr:spPr>
        <a:xfrm>
          <a:off x="5479676" y="208991"/>
          <a:ext cx="535691" cy="519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C6DEC-C41D-458E-B2DF-15AF49F6857B}">
  <sheetPr codeName="Planilha3"/>
  <dimension ref="A1:K99"/>
  <sheetViews>
    <sheetView showGridLines="0" tabSelected="1" zoomScale="85" zoomScaleNormal="85" workbookViewId="0">
      <pane ySplit="7" topLeftCell="A8" activePane="bottomLeft" state="frozenSplit"/>
      <selection pane="bottomLeft" activeCell="E13" sqref="E13"/>
    </sheetView>
  </sheetViews>
  <sheetFormatPr defaultRowHeight="15" x14ac:dyDescent="0.25"/>
  <cols>
    <col min="1" max="1" width="8.28515625" customWidth="1"/>
    <col min="2" max="2" width="8.28515625" style="10" customWidth="1"/>
    <col min="3" max="3" width="45.42578125" customWidth="1"/>
    <col min="4" max="4" width="3.140625" customWidth="1"/>
    <col min="5" max="5" width="16.5703125" style="18" customWidth="1"/>
    <col min="7" max="7" width="31.85546875" customWidth="1"/>
    <col min="8" max="9" width="15" customWidth="1"/>
  </cols>
  <sheetData>
    <row r="1" spans="1:11" ht="42.75" customHeight="1" x14ac:dyDescent="0.25">
      <c r="A1" s="28"/>
      <c r="B1" s="29"/>
      <c r="C1" s="40" t="s">
        <v>12</v>
      </c>
      <c r="D1" s="40"/>
      <c r="E1" s="30"/>
      <c r="F1" s="27" t="s">
        <v>123</v>
      </c>
    </row>
    <row r="2" spans="1:11" ht="13.5" customHeight="1" x14ac:dyDescent="0.25">
      <c r="A2" s="38" t="s">
        <v>115</v>
      </c>
      <c r="B2" s="39"/>
      <c r="C2" s="41"/>
      <c r="D2" s="41"/>
      <c r="E2" s="31" t="s">
        <v>116</v>
      </c>
    </row>
    <row r="3" spans="1:11" ht="13.5" customHeight="1" x14ac:dyDescent="0.25">
      <c r="A3" s="42" t="s">
        <v>120</v>
      </c>
      <c r="B3" s="42"/>
      <c r="C3" s="44"/>
      <c r="D3" s="45"/>
      <c r="E3" s="46"/>
    </row>
    <row r="4" spans="1:11" ht="13.5" customHeight="1" x14ac:dyDescent="0.25">
      <c r="A4" s="42" t="s">
        <v>117</v>
      </c>
      <c r="B4" s="42"/>
      <c r="C4" s="47"/>
      <c r="D4" s="48"/>
      <c r="E4" s="49"/>
      <c r="F4" s="13" t="s">
        <v>121</v>
      </c>
    </row>
    <row r="5" spans="1:11" ht="13.5" customHeight="1" x14ac:dyDescent="0.25">
      <c r="A5" s="42" t="s">
        <v>118</v>
      </c>
      <c r="B5" s="42"/>
      <c r="C5" s="50"/>
      <c r="D5" s="48"/>
      <c r="E5" s="49"/>
    </row>
    <row r="6" spans="1:11" ht="13.5" customHeight="1" x14ac:dyDescent="0.25">
      <c r="A6" s="42" t="s">
        <v>119</v>
      </c>
      <c r="B6" s="42"/>
      <c r="C6" s="50"/>
      <c r="D6" s="48"/>
      <c r="E6" s="49"/>
    </row>
    <row r="7" spans="1:11" ht="15" customHeight="1" x14ac:dyDescent="0.25">
      <c r="A7" s="37" t="s">
        <v>0</v>
      </c>
      <c r="B7" s="37"/>
      <c r="C7" s="1" t="s">
        <v>78</v>
      </c>
      <c r="D7" s="37" t="s">
        <v>79</v>
      </c>
      <c r="E7" s="37"/>
      <c r="F7" s="26"/>
      <c r="G7" s="43" t="s">
        <v>31</v>
      </c>
      <c r="H7" s="43"/>
      <c r="I7" s="43"/>
    </row>
    <row r="8" spans="1:11" s="5" customFormat="1" ht="14.85" customHeight="1" x14ac:dyDescent="0.25">
      <c r="A8" s="32" t="s">
        <v>16</v>
      </c>
      <c r="B8" s="33"/>
      <c r="C8" s="22" t="s">
        <v>96</v>
      </c>
      <c r="D8" s="23"/>
      <c r="E8" s="24" t="str">
        <f>ROUND(COUNTIF(E9:E16,"Conferido")*100/COUNTA(C9:C16),2)&amp;"% Completo"</f>
        <v>100% Completo</v>
      </c>
      <c r="F8" s="25"/>
      <c r="G8" s="12" t="s">
        <v>1</v>
      </c>
      <c r="H8" s="12" t="s">
        <v>13</v>
      </c>
      <c r="I8" s="12" t="s">
        <v>14</v>
      </c>
      <c r="J8"/>
      <c r="K8"/>
    </row>
    <row r="9" spans="1:11" ht="14.85" customHeight="1" x14ac:dyDescent="0.25">
      <c r="A9" s="34"/>
      <c r="B9" s="2" t="s">
        <v>37</v>
      </c>
      <c r="C9" s="4" t="s">
        <v>38</v>
      </c>
      <c r="D9" s="8">
        <f t="shared" ref="D9:D16" si="0">IFERROR(IF(E9="Conferido",2,IF(E9="Revisão",1,IF(E9="Pendente",0,""))),"")</f>
        <v>2</v>
      </c>
      <c r="E9" s="9" t="s">
        <v>114</v>
      </c>
      <c r="G9" s="19" t="s">
        <v>96</v>
      </c>
      <c r="H9" s="14">
        <f>COUNTIF($E$9:$E$16,"Conferido")</f>
        <v>8</v>
      </c>
      <c r="I9" s="14">
        <f>COUNTIF($E$9:$E$16,"Revisão")+COUNTIF($E$9:$E$16,"")</f>
        <v>0</v>
      </c>
    </row>
    <row r="10" spans="1:11" ht="14.85" customHeight="1" x14ac:dyDescent="0.25">
      <c r="A10" s="35"/>
      <c r="B10" s="2" t="s">
        <v>40</v>
      </c>
      <c r="C10" s="4" t="s">
        <v>39</v>
      </c>
      <c r="D10" s="8">
        <f t="shared" si="0"/>
        <v>2</v>
      </c>
      <c r="E10" s="9" t="s">
        <v>114</v>
      </c>
      <c r="G10" s="19" t="s">
        <v>52</v>
      </c>
      <c r="H10" s="14">
        <f>COUNTIF($E$18:$E$21,"Conferido")</f>
        <v>0</v>
      </c>
      <c r="I10" s="14">
        <f>COUNTIF($E$18:$E$21,"Revisão")+COUNTIF($E$18:$E$21,"")</f>
        <v>4</v>
      </c>
    </row>
    <row r="11" spans="1:11" ht="14.85" customHeight="1" x14ac:dyDescent="0.25">
      <c r="A11" s="35"/>
      <c r="B11" s="2" t="s">
        <v>41</v>
      </c>
      <c r="C11" s="4" t="s">
        <v>45</v>
      </c>
      <c r="D11" s="8">
        <f t="shared" si="0"/>
        <v>2</v>
      </c>
      <c r="E11" s="9" t="s">
        <v>114</v>
      </c>
      <c r="G11" s="19" t="s">
        <v>51</v>
      </c>
      <c r="H11" s="14">
        <f>COUNTIF($E$23:$E$28,"Conferido")</f>
        <v>0</v>
      </c>
      <c r="I11" s="14">
        <f>COUNTIF($E$23:$E$28,"Revisão")+COUNTIF($E$23:$E$28,"")</f>
        <v>6</v>
      </c>
      <c r="K11" t="str">
        <f>IFERROR(INDEX(#REF!, MATCH(0, COUNTIF($K$1:K10,#REF!),0)),"")</f>
        <v/>
      </c>
    </row>
    <row r="12" spans="1:11" ht="14.85" customHeight="1" x14ac:dyDescent="0.25">
      <c r="A12" s="35"/>
      <c r="B12" s="2" t="s">
        <v>42</v>
      </c>
      <c r="C12" s="4" t="s">
        <v>46</v>
      </c>
      <c r="D12" s="8">
        <f t="shared" si="0"/>
        <v>2</v>
      </c>
      <c r="E12" s="9" t="s">
        <v>114</v>
      </c>
      <c r="G12" s="19" t="s">
        <v>59</v>
      </c>
      <c r="H12" s="14">
        <f>COUNTIF($E$30:$E$35,"Conferido")</f>
        <v>0</v>
      </c>
      <c r="I12" s="14">
        <f>COUNTIF($E$30:$E$35,"Revisão")+COUNTIF($E$30:$E$35,"")</f>
        <v>6</v>
      </c>
    </row>
    <row r="13" spans="1:11" ht="14.85" customHeight="1" x14ac:dyDescent="0.25">
      <c r="A13" s="35"/>
      <c r="B13" s="2" t="s">
        <v>43</v>
      </c>
      <c r="C13" s="4" t="s">
        <v>47</v>
      </c>
      <c r="D13" s="8">
        <f t="shared" si="0"/>
        <v>2</v>
      </c>
      <c r="E13" s="9" t="s">
        <v>114</v>
      </c>
      <c r="G13" s="19" t="s">
        <v>67</v>
      </c>
      <c r="H13" s="14">
        <f>COUNTIF($E$37:$E$40,"Conferido")</f>
        <v>0</v>
      </c>
      <c r="I13" s="3">
        <f>COUNTIF($E$37:$E$40,"Revisão")+COUNTIF($E$37:$E$40,"")</f>
        <v>4</v>
      </c>
    </row>
    <row r="14" spans="1:11" ht="14.85" customHeight="1" x14ac:dyDescent="0.25">
      <c r="A14" s="35"/>
      <c r="B14" s="2" t="s">
        <v>44</v>
      </c>
      <c r="C14" s="4" t="s">
        <v>66</v>
      </c>
      <c r="D14" s="8">
        <f t="shared" si="0"/>
        <v>2</v>
      </c>
      <c r="E14" s="9" t="s">
        <v>114</v>
      </c>
      <c r="G14" s="19" t="s">
        <v>70</v>
      </c>
      <c r="H14" s="14">
        <f>COUNTIF($E$42:$E$47,"Conferido")</f>
        <v>0</v>
      </c>
      <c r="I14" s="14">
        <f>COUNTIF($E$42:$E$47,"Revisão")+COUNTIF($E$42:$E$47,"")</f>
        <v>6</v>
      </c>
    </row>
    <row r="15" spans="1:11" ht="14.85" customHeight="1" x14ac:dyDescent="0.25">
      <c r="A15" s="35"/>
      <c r="B15" s="2" t="s">
        <v>58</v>
      </c>
      <c r="C15" s="4" t="s">
        <v>48</v>
      </c>
      <c r="D15" s="8">
        <f t="shared" si="0"/>
        <v>2</v>
      </c>
      <c r="E15" s="9" t="s">
        <v>114</v>
      </c>
      <c r="G15" s="19" t="s">
        <v>76</v>
      </c>
      <c r="H15" s="14">
        <f>COUNTIF($E$49:$E$51,"Conferido")</f>
        <v>0</v>
      </c>
      <c r="I15" s="14">
        <f>COUNTIF($E$49:$E$51,"Revisão")+COUNTIF($E$49:$E$51,"")</f>
        <v>3</v>
      </c>
    </row>
    <row r="16" spans="1:11" ht="14.85" customHeight="1" x14ac:dyDescent="0.25">
      <c r="A16" s="36"/>
      <c r="B16" s="2" t="s">
        <v>65</v>
      </c>
      <c r="C16" s="4" t="s">
        <v>50</v>
      </c>
      <c r="D16" s="8">
        <f t="shared" si="0"/>
        <v>2</v>
      </c>
      <c r="E16" s="9" t="s">
        <v>114</v>
      </c>
      <c r="G16" s="19" t="s">
        <v>82</v>
      </c>
      <c r="H16" s="14">
        <f>COUNTIF($E$53:$E$56,"Conferido")</f>
        <v>0</v>
      </c>
      <c r="I16" s="14">
        <f>COUNTIF($E$53:$E$56,"Revisão")+COUNTIF($E$53:$E$56,"")</f>
        <v>4</v>
      </c>
    </row>
    <row r="17" spans="1:11" s="5" customFormat="1" ht="14.85" customHeight="1" x14ac:dyDescent="0.25">
      <c r="A17" s="32" t="s">
        <v>17</v>
      </c>
      <c r="B17" s="33"/>
      <c r="C17" s="22" t="s">
        <v>52</v>
      </c>
      <c r="D17" s="23"/>
      <c r="E17" s="24" t="str">
        <f>ROUND(COUNTIF(E18:E21,"Conferido")*100/COUNTA(C18:C21),2)&amp;"% Completo"</f>
        <v>0% Completo</v>
      </c>
      <c r="G17" s="19" t="s">
        <v>86</v>
      </c>
      <c r="H17" s="14">
        <f>COUNTIF($E$58:$E$61,"Conferido")</f>
        <v>0</v>
      </c>
      <c r="I17" s="14">
        <f>COUNTIF($E$58:$E$61,"Revisão")+COUNTIF($E$58:$E$61,"")</f>
        <v>4</v>
      </c>
      <c r="K17"/>
    </row>
    <row r="18" spans="1:11" ht="14.85" customHeight="1" x14ac:dyDescent="0.25">
      <c r="A18" s="34"/>
      <c r="B18" s="2" t="s">
        <v>37</v>
      </c>
      <c r="C18" s="4" t="s">
        <v>64</v>
      </c>
      <c r="D18" s="8" t="str">
        <f>IFERROR(IF(E18="Conferido",2,IF(E18="Revisão",1,IF(E18="Pendente",0,""))),"")</f>
        <v/>
      </c>
      <c r="E18" s="9"/>
      <c r="G18" s="19" t="s">
        <v>91</v>
      </c>
      <c r="H18" s="14">
        <f>COUNTIF($E$63:$E$66,"Conferido")</f>
        <v>0</v>
      </c>
      <c r="I18" s="14">
        <f>COUNTIF($E$63:$E$66,"Revisão")+COUNTIF($E$63:$E$66,"")</f>
        <v>4</v>
      </c>
    </row>
    <row r="19" spans="1:11" ht="14.85" customHeight="1" x14ac:dyDescent="0.25">
      <c r="A19" s="35"/>
      <c r="B19" s="2" t="s">
        <v>40</v>
      </c>
      <c r="C19" s="4" t="s">
        <v>49</v>
      </c>
      <c r="D19" s="8" t="str">
        <f>IFERROR(IF(E19="Conferido",2,IF(E19="Revisão",1,IF(E19="Pendente",0,""))),"")</f>
        <v/>
      </c>
      <c r="E19" s="9"/>
      <c r="G19" s="19" t="s">
        <v>94</v>
      </c>
      <c r="H19" s="14">
        <f>COUNTIF($E$68:$E$70,"Conferido")</f>
        <v>0</v>
      </c>
      <c r="I19" s="14">
        <f>COUNTIF($E$68:$E$70,"Revisão")+COUNTIF($E$68:$E$70,"")</f>
        <v>3</v>
      </c>
    </row>
    <row r="20" spans="1:11" ht="14.85" customHeight="1" x14ac:dyDescent="0.25">
      <c r="A20" s="35"/>
      <c r="B20" s="2" t="s">
        <v>41</v>
      </c>
      <c r="C20" s="4" t="s">
        <v>50</v>
      </c>
      <c r="D20" s="8" t="str">
        <f>IFERROR(IF(E20="Conferido",2,IF(E20="Revisão",1,IF(E20="Pendente",0,""))),"")</f>
        <v/>
      </c>
      <c r="E20" s="9"/>
      <c r="G20" s="19" t="s">
        <v>97</v>
      </c>
      <c r="H20" s="14">
        <f>COUNTIF($E$72:$E$75,"Conferido")</f>
        <v>0</v>
      </c>
      <c r="I20" s="14">
        <f>COUNTIF($E$72:$E$75,"Revisão")+COUNTIF($E$72:$E$75,"")</f>
        <v>4</v>
      </c>
    </row>
    <row r="21" spans="1:11" ht="14.85" customHeight="1" x14ac:dyDescent="0.25">
      <c r="A21" s="36"/>
      <c r="B21" s="2" t="s">
        <v>42</v>
      </c>
      <c r="C21" s="4" t="s">
        <v>48</v>
      </c>
      <c r="D21" s="8" t="str">
        <f>IFERROR(IF(E21="Conferido",2,IF(E21="Revisão",1,IF(E21="Pendente",0,""))),"")</f>
        <v/>
      </c>
      <c r="E21" s="9"/>
      <c r="G21" s="19" t="s">
        <v>99</v>
      </c>
      <c r="H21" s="14">
        <f>COUNTIF($E$77:$E$79,"Conferido")</f>
        <v>0</v>
      </c>
      <c r="I21" s="14">
        <f>COUNTIF($E$77:$E$79,"Revisão")+COUNTIF($E$77:$E$79,"")</f>
        <v>3</v>
      </c>
    </row>
    <row r="22" spans="1:11" s="5" customFormat="1" ht="14.85" customHeight="1" x14ac:dyDescent="0.25">
      <c r="A22" s="32" t="s">
        <v>18</v>
      </c>
      <c r="B22" s="33"/>
      <c r="C22" s="22" t="s">
        <v>51</v>
      </c>
      <c r="D22" s="23"/>
      <c r="E22" s="24" t="str">
        <f>ROUND(COUNTIF(E23:E28,"Conferido")*100/COUNTA(C23:C28),2)&amp;"% Completo"</f>
        <v>0% Completo</v>
      </c>
      <c r="G22" s="19" t="s">
        <v>101</v>
      </c>
      <c r="H22" s="14">
        <f>COUNTIF($E$81:$E$84,"Conferido")</f>
        <v>0</v>
      </c>
      <c r="I22" s="14">
        <f>COUNTIF($E$81:$E$84,"Revisão")+COUNTIF($E$81:$E$84,"")</f>
        <v>4</v>
      </c>
      <c r="K22"/>
    </row>
    <row r="23" spans="1:11" ht="14.85" customHeight="1" x14ac:dyDescent="0.25">
      <c r="A23" s="34"/>
      <c r="B23" s="2" t="s">
        <v>37</v>
      </c>
      <c r="C23" s="4" t="s">
        <v>53</v>
      </c>
      <c r="D23" s="8" t="str">
        <f t="shared" ref="D23:D28" si="1">IFERROR(IF(E23="Conferido",2,IF(E23="Revisão",1,IF(E23="Pendente",0,""))),"")</f>
        <v/>
      </c>
      <c r="E23" s="9"/>
      <c r="G23" s="19" t="s">
        <v>106</v>
      </c>
      <c r="H23" s="14">
        <f>COUNTIF($E$86:$E$99,"Conferido")</f>
        <v>0</v>
      </c>
      <c r="I23" s="14">
        <f>COUNTIF($E$86:$E$99,"Revisão")+COUNTIF($E$86:$E$99,"")</f>
        <v>14</v>
      </c>
    </row>
    <row r="24" spans="1:11" ht="14.85" customHeight="1" x14ac:dyDescent="0.25">
      <c r="A24" s="35"/>
      <c r="B24" s="2" t="s">
        <v>40</v>
      </c>
      <c r="C24" s="4" t="s">
        <v>54</v>
      </c>
      <c r="D24" s="8" t="str">
        <f t="shared" si="1"/>
        <v/>
      </c>
      <c r="E24" s="9"/>
      <c r="G24" s="16" t="s">
        <v>113</v>
      </c>
      <c r="H24" s="17">
        <f>SUM(H9:H23)</f>
        <v>8</v>
      </c>
      <c r="I24" s="17">
        <f>SUM(I9:I23)</f>
        <v>69</v>
      </c>
    </row>
    <row r="25" spans="1:11" ht="14.85" customHeight="1" x14ac:dyDescent="0.25">
      <c r="A25" s="35"/>
      <c r="B25" s="2" t="s">
        <v>41</v>
      </c>
      <c r="C25" s="4" t="s">
        <v>55</v>
      </c>
      <c r="D25" s="8" t="str">
        <f t="shared" si="1"/>
        <v/>
      </c>
      <c r="E25" s="9"/>
    </row>
    <row r="26" spans="1:11" ht="14.85" customHeight="1" x14ac:dyDescent="0.25">
      <c r="A26" s="35"/>
      <c r="B26" s="2" t="s">
        <v>42</v>
      </c>
      <c r="C26" s="4" t="s">
        <v>56</v>
      </c>
      <c r="D26" s="8" t="str">
        <f t="shared" si="1"/>
        <v/>
      </c>
      <c r="E26" s="9"/>
    </row>
    <row r="27" spans="1:11" ht="14.85" customHeight="1" x14ac:dyDescent="0.25">
      <c r="A27" s="35"/>
      <c r="B27" s="2" t="s">
        <v>57</v>
      </c>
      <c r="C27" s="4" t="s">
        <v>50</v>
      </c>
      <c r="D27" s="8" t="str">
        <f t="shared" si="1"/>
        <v/>
      </c>
      <c r="E27" s="9"/>
    </row>
    <row r="28" spans="1:11" ht="14.85" customHeight="1" x14ac:dyDescent="0.25">
      <c r="A28" s="36"/>
      <c r="B28" s="2" t="s">
        <v>42</v>
      </c>
      <c r="C28" s="4" t="s">
        <v>48</v>
      </c>
      <c r="D28" s="8" t="str">
        <f t="shared" si="1"/>
        <v/>
      </c>
      <c r="E28" s="9"/>
    </row>
    <row r="29" spans="1:11" ht="14.85" customHeight="1" x14ac:dyDescent="0.25">
      <c r="A29" s="32" t="s">
        <v>19</v>
      </c>
      <c r="B29" s="33"/>
      <c r="C29" s="22" t="s">
        <v>59</v>
      </c>
      <c r="D29" s="23"/>
      <c r="E29" s="24" t="str">
        <f>ROUND(COUNTIF(E30:E35,"Conferido")*100/COUNTA(C30:C35),2)&amp;"% Completo"</f>
        <v>0% Completo</v>
      </c>
    </row>
    <row r="30" spans="1:11" ht="14.85" customHeight="1" x14ac:dyDescent="0.25">
      <c r="A30" s="34"/>
      <c r="B30" s="2" t="s">
        <v>37</v>
      </c>
      <c r="C30" s="4" t="s">
        <v>55</v>
      </c>
      <c r="D30" s="8" t="str">
        <f t="shared" ref="D30:D35" si="2">IFERROR(IF(E30="Conferido",2,IF(E30="Revisão",1,IF(E30="Pendente",0,""))),"")</f>
        <v/>
      </c>
      <c r="E30" s="9"/>
    </row>
    <row r="31" spans="1:11" ht="14.85" customHeight="1" x14ac:dyDescent="0.25">
      <c r="A31" s="35"/>
      <c r="B31" s="2" t="s">
        <v>40</v>
      </c>
      <c r="C31" s="4" t="s">
        <v>60</v>
      </c>
      <c r="D31" s="8" t="str">
        <f t="shared" si="2"/>
        <v/>
      </c>
      <c r="E31" s="9"/>
    </row>
    <row r="32" spans="1:11" ht="14.85" customHeight="1" x14ac:dyDescent="0.25">
      <c r="A32" s="35"/>
      <c r="B32" s="2" t="s">
        <v>41</v>
      </c>
      <c r="C32" s="4" t="s">
        <v>61</v>
      </c>
      <c r="D32" s="8" t="str">
        <f t="shared" si="2"/>
        <v/>
      </c>
      <c r="E32" s="9"/>
    </row>
    <row r="33" spans="1:5" ht="14.85" customHeight="1" x14ac:dyDescent="0.25">
      <c r="A33" s="35"/>
      <c r="B33" s="2" t="s">
        <v>42</v>
      </c>
      <c r="C33" s="4" t="s">
        <v>62</v>
      </c>
      <c r="D33" s="8" t="str">
        <f t="shared" si="2"/>
        <v/>
      </c>
      <c r="E33" s="9"/>
    </row>
    <row r="34" spans="1:5" ht="14.85" customHeight="1" x14ac:dyDescent="0.25">
      <c r="A34" s="35"/>
      <c r="B34" s="2" t="s">
        <v>57</v>
      </c>
      <c r="C34" s="4" t="s">
        <v>63</v>
      </c>
      <c r="D34" s="8" t="str">
        <f t="shared" si="2"/>
        <v/>
      </c>
      <c r="E34" s="9"/>
    </row>
    <row r="35" spans="1:5" ht="14.85" customHeight="1" x14ac:dyDescent="0.25">
      <c r="A35" s="36"/>
      <c r="B35" s="2" t="s">
        <v>44</v>
      </c>
      <c r="C35" s="4" t="s">
        <v>48</v>
      </c>
      <c r="D35" s="8" t="str">
        <f t="shared" si="2"/>
        <v/>
      </c>
      <c r="E35" s="9"/>
    </row>
    <row r="36" spans="1:5" s="5" customFormat="1" ht="14.85" customHeight="1" x14ac:dyDescent="0.25">
      <c r="A36" s="32" t="s">
        <v>20</v>
      </c>
      <c r="B36" s="33"/>
      <c r="C36" s="22" t="s">
        <v>67</v>
      </c>
      <c r="D36" s="23"/>
      <c r="E36" s="24" t="str">
        <f>ROUND(COUNTIF(E37:E40,"Conferido")*100/COUNTA(C37:C40),2)&amp;"% Completo"</f>
        <v>0% Completo</v>
      </c>
    </row>
    <row r="37" spans="1:5" ht="14.85" customHeight="1" x14ac:dyDescent="0.25">
      <c r="A37" s="34"/>
      <c r="B37" s="20" t="s">
        <v>37</v>
      </c>
      <c r="C37" s="11" t="s">
        <v>49</v>
      </c>
      <c r="D37" s="8" t="str">
        <f>IFERROR(IF(E37="Conferido",2,IF(E37="Revisão",1,IF(E37="Pendente",0,""))),"")</f>
        <v/>
      </c>
      <c r="E37" s="15" t="s">
        <v>122</v>
      </c>
    </row>
    <row r="38" spans="1:5" ht="14.85" customHeight="1" x14ac:dyDescent="0.25">
      <c r="A38" s="35"/>
      <c r="B38" s="2" t="s">
        <v>40</v>
      </c>
      <c r="C38" s="4" t="s">
        <v>63</v>
      </c>
      <c r="D38" s="8" t="str">
        <f>IFERROR(IF(E38="Conferido",2,IF(E38="Revisão",1,IF(E38="Pendente",0,""))),"")</f>
        <v/>
      </c>
      <c r="E38" s="9" t="s">
        <v>122</v>
      </c>
    </row>
    <row r="39" spans="1:5" ht="14.85" customHeight="1" x14ac:dyDescent="0.25">
      <c r="A39" s="35"/>
      <c r="B39" s="2" t="s">
        <v>41</v>
      </c>
      <c r="C39" s="4" t="s">
        <v>68</v>
      </c>
      <c r="D39" s="8" t="str">
        <f>IFERROR(IF(E39="Conferido",2,IF(E39="Revisão",1,IF(E39="Pendente",0,""))),"")</f>
        <v/>
      </c>
      <c r="E39" s="9" t="s">
        <v>122</v>
      </c>
    </row>
    <row r="40" spans="1:5" ht="14.85" customHeight="1" x14ac:dyDescent="0.25">
      <c r="A40" s="36"/>
      <c r="B40" s="2" t="s">
        <v>42</v>
      </c>
      <c r="C40" s="4" t="s">
        <v>69</v>
      </c>
      <c r="D40" s="8" t="str">
        <f>IFERROR(IF(E40="Conferido",2,IF(E40="Revisão",1,IF(E40="Pendente",0,""))),"")</f>
        <v/>
      </c>
      <c r="E40" s="9" t="s">
        <v>122</v>
      </c>
    </row>
    <row r="41" spans="1:5" ht="14.85" customHeight="1" x14ac:dyDescent="0.25">
      <c r="A41" s="32" t="s">
        <v>21</v>
      </c>
      <c r="B41" s="33"/>
      <c r="C41" s="22" t="s">
        <v>70</v>
      </c>
      <c r="D41" s="23"/>
      <c r="E41" s="24" t="str">
        <f>ROUND(COUNTIF(E42:E47,"Conferido")*100/COUNTA(C42:C47),2)&amp;"% Completo"</f>
        <v>0% Completo</v>
      </c>
    </row>
    <row r="42" spans="1:5" ht="14.85" customHeight="1" x14ac:dyDescent="0.25">
      <c r="A42" s="34"/>
      <c r="B42" s="2" t="s">
        <v>37</v>
      </c>
      <c r="C42" s="4" t="s">
        <v>71</v>
      </c>
      <c r="D42" s="8" t="str">
        <f t="shared" ref="D42:D47" si="3">IFERROR(IF(E42="Conferido",2,IF(E42="Revisão",1,IF(E42="Pendente",0,""))),"")</f>
        <v/>
      </c>
      <c r="E42" s="9"/>
    </row>
    <row r="43" spans="1:5" ht="14.85" customHeight="1" x14ac:dyDescent="0.25">
      <c r="A43" s="35"/>
      <c r="B43" s="2" t="s">
        <v>40</v>
      </c>
      <c r="C43" s="4" t="s">
        <v>72</v>
      </c>
      <c r="D43" s="8" t="str">
        <f t="shared" si="3"/>
        <v/>
      </c>
      <c r="E43" s="9"/>
    </row>
    <row r="44" spans="1:5" ht="14.85" customHeight="1" x14ac:dyDescent="0.25">
      <c r="A44" s="35"/>
      <c r="B44" s="2" t="s">
        <v>41</v>
      </c>
      <c r="C44" s="4" t="s">
        <v>73</v>
      </c>
      <c r="D44" s="8" t="str">
        <f t="shared" si="3"/>
        <v/>
      </c>
      <c r="E44" s="9"/>
    </row>
    <row r="45" spans="1:5" ht="14.85" customHeight="1" x14ac:dyDescent="0.25">
      <c r="A45" s="35"/>
      <c r="B45" s="2" t="s">
        <v>42</v>
      </c>
      <c r="C45" s="4" t="s">
        <v>74</v>
      </c>
      <c r="D45" s="8" t="str">
        <f t="shared" si="3"/>
        <v/>
      </c>
      <c r="E45" s="9"/>
    </row>
    <row r="46" spans="1:5" ht="14.85" customHeight="1" x14ac:dyDescent="0.25">
      <c r="A46" s="35"/>
      <c r="B46" s="2" t="s">
        <v>43</v>
      </c>
      <c r="C46" s="4" t="s">
        <v>75</v>
      </c>
      <c r="D46" s="8" t="str">
        <f t="shared" si="3"/>
        <v/>
      </c>
      <c r="E46" s="9"/>
    </row>
    <row r="47" spans="1:5" ht="14.85" customHeight="1" x14ac:dyDescent="0.25">
      <c r="A47" s="36"/>
      <c r="B47" s="21" t="s">
        <v>44</v>
      </c>
      <c r="C47" s="6" t="s">
        <v>48</v>
      </c>
      <c r="D47" s="8" t="str">
        <f t="shared" si="3"/>
        <v/>
      </c>
      <c r="E47" s="9"/>
    </row>
    <row r="48" spans="1:5" ht="14.85" customHeight="1" x14ac:dyDescent="0.25">
      <c r="A48" s="32" t="s">
        <v>22</v>
      </c>
      <c r="B48" s="33"/>
      <c r="C48" s="22" t="s">
        <v>76</v>
      </c>
      <c r="D48" s="23"/>
      <c r="E48" s="24" t="str">
        <f>ROUND(COUNTIF(E49:E51,"Conferido")*100/COUNTA(C49:C51),2)&amp;"% Completo"</f>
        <v>0% Completo</v>
      </c>
    </row>
    <row r="49" spans="1:5" ht="14.85" customHeight="1" x14ac:dyDescent="0.25">
      <c r="A49" s="34"/>
      <c r="B49" s="2" t="s">
        <v>37</v>
      </c>
      <c r="C49" s="4" t="s">
        <v>77</v>
      </c>
      <c r="D49" s="8" t="str">
        <f>IFERROR(IF(E49="Conferido",2,IF(E49="Revisão",1,IF(E49="Pendente",0,""))),"")</f>
        <v/>
      </c>
      <c r="E49" s="9"/>
    </row>
    <row r="50" spans="1:5" ht="14.85" customHeight="1" x14ac:dyDescent="0.25">
      <c r="A50" s="35"/>
      <c r="B50" s="2" t="s">
        <v>40</v>
      </c>
      <c r="C50" s="4" t="s">
        <v>80</v>
      </c>
      <c r="D50" s="8" t="str">
        <f>IFERROR(IF(E50="Conferido",2,IF(E50="Revisão",1,IF(E50="Pendente",0,""))),"")</f>
        <v/>
      </c>
      <c r="E50" s="9"/>
    </row>
    <row r="51" spans="1:5" ht="14.85" customHeight="1" x14ac:dyDescent="0.25">
      <c r="A51" s="36"/>
      <c r="B51" s="2" t="s">
        <v>41</v>
      </c>
      <c r="C51" s="6" t="s">
        <v>81</v>
      </c>
      <c r="D51" s="8" t="str">
        <f>IFERROR(IF(E51="Conferido",2,IF(E51="Revisão",1,IF(E51="Pendente",0,""))),"")</f>
        <v/>
      </c>
      <c r="E51" s="9"/>
    </row>
    <row r="52" spans="1:5" s="5" customFormat="1" ht="14.85" customHeight="1" x14ac:dyDescent="0.25">
      <c r="A52" s="32" t="s">
        <v>23</v>
      </c>
      <c r="B52" s="33"/>
      <c r="C52" s="22" t="s">
        <v>82</v>
      </c>
      <c r="D52" s="23"/>
      <c r="E52" s="24" t="str">
        <f>ROUND(COUNTIF(E53:E56,"Conferido")*100/COUNTA(C53:C56),2)&amp;"% Completo"</f>
        <v>0% Completo</v>
      </c>
    </row>
    <row r="53" spans="1:5" ht="14.85" customHeight="1" x14ac:dyDescent="0.25">
      <c r="A53" s="34"/>
      <c r="B53" s="2" t="s">
        <v>37</v>
      </c>
      <c r="C53" s="4" t="s">
        <v>84</v>
      </c>
      <c r="D53" s="8" t="str">
        <f>IFERROR(IF(E53="Conferido",2,IF(E53="Revisão",1,IF(E53="Pendente",0,""))),"")</f>
        <v/>
      </c>
      <c r="E53" s="9"/>
    </row>
    <row r="54" spans="1:5" ht="14.85" customHeight="1" x14ac:dyDescent="0.25">
      <c r="A54" s="35"/>
      <c r="B54" s="2" t="s">
        <v>40</v>
      </c>
      <c r="C54" s="4" t="s">
        <v>83</v>
      </c>
      <c r="D54" s="8" t="str">
        <f>IFERROR(IF(E54="Conferido",2,IF(E54="Revisão",1,IF(E54="Pendente",0,""))),"")</f>
        <v/>
      </c>
      <c r="E54" s="9"/>
    </row>
    <row r="55" spans="1:5" ht="14.85" customHeight="1" x14ac:dyDescent="0.25">
      <c r="A55" s="35"/>
      <c r="B55" s="2" t="s">
        <v>41</v>
      </c>
      <c r="C55" s="4" t="s">
        <v>85</v>
      </c>
      <c r="D55" s="8" t="str">
        <f>IFERROR(IF(E55="Conferido",2,IF(E55="Revisão",1,IF(E55="Pendente",0,""))),"")</f>
        <v/>
      </c>
      <c r="E55" s="9"/>
    </row>
    <row r="56" spans="1:5" ht="14.85" customHeight="1" x14ac:dyDescent="0.25">
      <c r="A56" s="36"/>
      <c r="B56" s="20" t="s">
        <v>42</v>
      </c>
      <c r="C56" s="11" t="s">
        <v>48</v>
      </c>
      <c r="D56" s="8" t="str">
        <f>IFERROR(IF(E56="Conferido",2,IF(E56="Revisão",1,IF(E56="Pendente",0,""))),"")</f>
        <v/>
      </c>
      <c r="E56" s="15"/>
    </row>
    <row r="57" spans="1:5" ht="14.85" customHeight="1" x14ac:dyDescent="0.25">
      <c r="A57" s="32" t="s">
        <v>24</v>
      </c>
      <c r="B57" s="33"/>
      <c r="C57" s="22" t="s">
        <v>86</v>
      </c>
      <c r="D57" s="23"/>
      <c r="E57" s="24" t="str">
        <f>ROUND(COUNTIF(E58:E61,"Conferido")*100/COUNTA(C58:C61),2)&amp;"% Completo"</f>
        <v>0% Completo</v>
      </c>
    </row>
    <row r="58" spans="1:5" ht="14.85" customHeight="1" x14ac:dyDescent="0.25">
      <c r="A58" s="34"/>
      <c r="B58" s="2" t="s">
        <v>37</v>
      </c>
      <c r="C58" s="4" t="s">
        <v>87</v>
      </c>
      <c r="D58" s="8" t="str">
        <f>IFERROR(IF(E58="Conferido",2,IF(E58="Revisão",1,IF(E58="Pendente",0,""))),"")</f>
        <v/>
      </c>
      <c r="E58" s="9"/>
    </row>
    <row r="59" spans="1:5" ht="14.85" customHeight="1" x14ac:dyDescent="0.25">
      <c r="A59" s="35"/>
      <c r="B59" s="2" t="s">
        <v>40</v>
      </c>
      <c r="C59" s="4" t="s">
        <v>88</v>
      </c>
      <c r="D59" s="8" t="str">
        <f>IFERROR(IF(E59="Conferido",2,IF(E59="Revisão",1,IF(E59="Pendente",0,""))),"")</f>
        <v/>
      </c>
      <c r="E59" s="9"/>
    </row>
    <row r="60" spans="1:5" ht="14.85" customHeight="1" x14ac:dyDescent="0.25">
      <c r="A60" s="35"/>
      <c r="B60" s="2" t="s">
        <v>41</v>
      </c>
      <c r="C60" s="4" t="s">
        <v>89</v>
      </c>
      <c r="D60" s="8" t="str">
        <f>IFERROR(IF(E60="Conferido",2,IF(E60="Revisão",1,IF(E60="Pendente",0,""))),"")</f>
        <v/>
      </c>
      <c r="E60" s="9"/>
    </row>
    <row r="61" spans="1:5" ht="14.85" customHeight="1" x14ac:dyDescent="0.25">
      <c r="A61" s="36"/>
      <c r="B61" s="2" t="s">
        <v>42</v>
      </c>
      <c r="C61" s="4" t="s">
        <v>90</v>
      </c>
      <c r="D61" s="8" t="str">
        <f>IFERROR(IF(E61="Conferido",2,IF(E61="Revisão",1,IF(E61="Pendente",0,""))),"")</f>
        <v/>
      </c>
      <c r="E61" s="9"/>
    </row>
    <row r="62" spans="1:5" s="5" customFormat="1" ht="14.85" customHeight="1" x14ac:dyDescent="0.25">
      <c r="A62" s="32" t="s">
        <v>25</v>
      </c>
      <c r="B62" s="33"/>
      <c r="C62" s="22" t="s">
        <v>91</v>
      </c>
      <c r="D62" s="23"/>
      <c r="E62" s="24" t="str">
        <f>ROUND(COUNTIF(E63:E66,"Conferido")*100/COUNTA(C63:C66),2)&amp;"% Completo"</f>
        <v>0% Completo</v>
      </c>
    </row>
    <row r="63" spans="1:5" ht="14.85" customHeight="1" x14ac:dyDescent="0.25">
      <c r="A63" s="34"/>
      <c r="B63" s="2" t="s">
        <v>37</v>
      </c>
      <c r="C63" s="4" t="s">
        <v>50</v>
      </c>
      <c r="D63" s="8" t="str">
        <f>IFERROR(IF(E63="Conferido",2,IF(E63="Revisão",1,IF(E63="Pendente",0,""))),"")</f>
        <v/>
      </c>
      <c r="E63" s="9"/>
    </row>
    <row r="64" spans="1:5" ht="14.85" customHeight="1" x14ac:dyDescent="0.25">
      <c r="A64" s="35"/>
      <c r="B64" s="2" t="s">
        <v>40</v>
      </c>
      <c r="C64" s="4" t="s">
        <v>92</v>
      </c>
      <c r="D64" s="8" t="str">
        <f>IFERROR(IF(E64="Conferido",2,IF(E64="Revisão",1,IF(E64="Pendente",0,""))),"")</f>
        <v/>
      </c>
      <c r="E64" s="9"/>
    </row>
    <row r="65" spans="1:5" ht="14.85" customHeight="1" x14ac:dyDescent="0.25">
      <c r="A65" s="35"/>
      <c r="B65" s="2" t="s">
        <v>41</v>
      </c>
      <c r="C65" s="4" t="s">
        <v>93</v>
      </c>
      <c r="D65" s="8" t="str">
        <f>IFERROR(IF(E65="Conferido",2,IF(E65="Revisão",1,IF(E65="Pendente",0,""))),"")</f>
        <v/>
      </c>
      <c r="E65" s="9"/>
    </row>
    <row r="66" spans="1:5" ht="14.85" customHeight="1" x14ac:dyDescent="0.25">
      <c r="A66" s="36"/>
      <c r="B66" s="2" t="s">
        <v>42</v>
      </c>
      <c r="C66" s="6" t="s">
        <v>48</v>
      </c>
      <c r="D66" s="8" t="str">
        <f>IFERROR(IF(E66="Conferido",2,IF(E66="Revisão",1,IF(E66="Pendente",0,""))),"")</f>
        <v/>
      </c>
      <c r="E66" s="9"/>
    </row>
    <row r="67" spans="1:5" s="5" customFormat="1" ht="14.85" customHeight="1" x14ac:dyDescent="0.25">
      <c r="A67" s="32" t="s">
        <v>26</v>
      </c>
      <c r="B67" s="33"/>
      <c r="C67" s="22" t="s">
        <v>94</v>
      </c>
      <c r="D67" s="23"/>
      <c r="E67" s="24" t="str">
        <f>ROUND(COUNTIF(E68:E70,"Conferido")*100/COUNTA(C68:C70),2)&amp;"% Completo"</f>
        <v>0% Completo</v>
      </c>
    </row>
    <row r="68" spans="1:5" ht="14.85" customHeight="1" x14ac:dyDescent="0.25">
      <c r="A68" s="34"/>
      <c r="B68" s="2" t="s">
        <v>37</v>
      </c>
      <c r="C68" s="4" t="s">
        <v>62</v>
      </c>
      <c r="D68" s="8" t="str">
        <f>IFERROR(IF(E68="Conferido",2,IF(E68="Revisão",1,IF(E68="Pendente",0,""))),"")</f>
        <v/>
      </c>
      <c r="E68" s="9"/>
    </row>
    <row r="69" spans="1:5" ht="14.85" customHeight="1" x14ac:dyDescent="0.25">
      <c r="A69" s="35"/>
      <c r="B69" s="2" t="s">
        <v>40</v>
      </c>
      <c r="C69" s="4" t="s">
        <v>95</v>
      </c>
      <c r="D69" s="8" t="str">
        <f>IFERROR(IF(E69="Conferido",2,IF(E69="Revisão",1,IF(E69="Pendente",0,""))),"")</f>
        <v/>
      </c>
      <c r="E69" s="9"/>
    </row>
    <row r="70" spans="1:5" ht="14.85" customHeight="1" x14ac:dyDescent="0.25">
      <c r="A70" s="36"/>
      <c r="B70" s="2" t="s">
        <v>41</v>
      </c>
      <c r="C70" s="6" t="s">
        <v>48</v>
      </c>
      <c r="D70" s="8" t="str">
        <f>IFERROR(IF(E70="Conferido",2,IF(E70="Revisão",1,IF(E70="Pendente",0,""))),"")</f>
        <v/>
      </c>
      <c r="E70" s="9"/>
    </row>
    <row r="71" spans="1:5" ht="14.85" customHeight="1" x14ac:dyDescent="0.25">
      <c r="A71" s="32" t="s">
        <v>27</v>
      </c>
      <c r="B71" s="33"/>
      <c r="C71" s="22" t="s">
        <v>97</v>
      </c>
      <c r="D71" s="23"/>
      <c r="E71" s="24" t="str">
        <f>ROUND(COUNTIF(E72:E75,"Conferido")*100/COUNTA(C72:C75),2)&amp;"% Completo"</f>
        <v>0% Completo</v>
      </c>
    </row>
    <row r="72" spans="1:5" ht="14.85" customHeight="1" x14ac:dyDescent="0.25">
      <c r="A72" s="34"/>
      <c r="B72" s="2" t="s">
        <v>37</v>
      </c>
      <c r="C72" s="4" t="s">
        <v>49</v>
      </c>
      <c r="D72" s="8" t="str">
        <f>IFERROR(IF(E72="Conferido",2,IF(E72="Revisão",1,IF(E72="Pendente",0,""))),"")</f>
        <v/>
      </c>
      <c r="E72" s="9"/>
    </row>
    <row r="73" spans="1:5" ht="14.85" customHeight="1" x14ac:dyDescent="0.25">
      <c r="A73" s="35"/>
      <c r="B73" s="2" t="s">
        <v>40</v>
      </c>
      <c r="C73" s="4" t="s">
        <v>50</v>
      </c>
      <c r="D73" s="8" t="str">
        <f>IFERROR(IF(E73="Conferido",2,IF(E73="Revisão",1,IF(E73="Pendente",0,""))),"")</f>
        <v/>
      </c>
      <c r="E73" s="9"/>
    </row>
    <row r="74" spans="1:5" ht="14.85" customHeight="1" x14ac:dyDescent="0.25">
      <c r="A74" s="35"/>
      <c r="B74" s="2" t="s">
        <v>41</v>
      </c>
      <c r="C74" s="4" t="s">
        <v>48</v>
      </c>
      <c r="D74" s="8" t="str">
        <f>IFERROR(IF(E74="Conferido",2,IF(E74="Revisão",1,IF(E74="Pendente",0,""))),"")</f>
        <v/>
      </c>
      <c r="E74" s="9"/>
    </row>
    <row r="75" spans="1:5" ht="14.85" customHeight="1" x14ac:dyDescent="0.25">
      <c r="A75" s="36"/>
      <c r="B75" s="2" t="s">
        <v>42</v>
      </c>
      <c r="C75" s="6" t="s">
        <v>98</v>
      </c>
      <c r="D75" s="8" t="str">
        <f>IFERROR(IF(E75="Conferido",2,IF(E75="Revisão",1,IF(E75="Pendente",0,""))),"")</f>
        <v/>
      </c>
      <c r="E75" s="9"/>
    </row>
    <row r="76" spans="1:5" s="5" customFormat="1" ht="14.85" customHeight="1" x14ac:dyDescent="0.25">
      <c r="A76" s="32" t="s">
        <v>28</v>
      </c>
      <c r="B76" s="33"/>
      <c r="C76" s="22" t="s">
        <v>99</v>
      </c>
      <c r="D76" s="23"/>
      <c r="E76" s="24" t="str">
        <f>ROUND(COUNTIF(E77:E79,"Conferido")*100/COUNTA(C77:C79),2)&amp;"% Completo"</f>
        <v>0% Completo</v>
      </c>
    </row>
    <row r="77" spans="1:5" ht="14.85" customHeight="1" x14ac:dyDescent="0.25">
      <c r="A77" s="34"/>
      <c r="B77" s="2" t="s">
        <v>37</v>
      </c>
      <c r="C77" s="7" t="s">
        <v>77</v>
      </c>
      <c r="D77" s="8" t="str">
        <f>IFERROR(IF(E77="Conferido",2,IF(E77="Revisão",1,IF(E77="Pendente",0,""))),"")</f>
        <v/>
      </c>
      <c r="E77" s="9"/>
    </row>
    <row r="78" spans="1:5" ht="14.85" customHeight="1" x14ac:dyDescent="0.25">
      <c r="A78" s="35"/>
      <c r="B78" s="2" t="s">
        <v>40</v>
      </c>
      <c r="C78" s="6" t="s">
        <v>32</v>
      </c>
      <c r="D78" s="8" t="str">
        <f>IFERROR(IF(E78="Conferido",2,IF(E78="Revisão",1,IF(E78="Pendente",0,""))),"")</f>
        <v/>
      </c>
      <c r="E78" s="9"/>
    </row>
    <row r="79" spans="1:5" ht="14.85" customHeight="1" x14ac:dyDescent="0.25">
      <c r="A79" s="36"/>
      <c r="B79" s="2" t="s">
        <v>41</v>
      </c>
      <c r="C79" s="6" t="s">
        <v>100</v>
      </c>
      <c r="D79" s="8" t="str">
        <f>IFERROR(IF(E79="Conferido",2,IF(E79="Revisão",1,IF(E79="Pendente",0,""))),"")</f>
        <v/>
      </c>
      <c r="E79" s="9"/>
    </row>
    <row r="80" spans="1:5" s="5" customFormat="1" ht="14.85" customHeight="1" x14ac:dyDescent="0.25">
      <c r="A80" s="32" t="s">
        <v>29</v>
      </c>
      <c r="B80" s="33"/>
      <c r="C80" s="22" t="s">
        <v>101</v>
      </c>
      <c r="D80" s="23"/>
      <c r="E80" s="24" t="str">
        <f>ROUND(COUNTIF(E81:E84,"Conferido")*100/COUNTA(C81:C84),2)&amp;"% Completo"</f>
        <v>0% Completo</v>
      </c>
    </row>
    <row r="81" spans="1:5" ht="14.85" customHeight="1" x14ac:dyDescent="0.25">
      <c r="A81" s="34"/>
      <c r="B81" s="2" t="s">
        <v>37</v>
      </c>
      <c r="C81" s="6" t="s">
        <v>105</v>
      </c>
      <c r="D81" s="8" t="str">
        <f>IFERROR(IF(E81="Conferido",2,IF(E81="Revisão",1,IF(E81="Pendente",0,""))),"")</f>
        <v/>
      </c>
      <c r="E81" s="9"/>
    </row>
    <row r="82" spans="1:5" ht="14.85" customHeight="1" x14ac:dyDescent="0.25">
      <c r="A82" s="35"/>
      <c r="B82" s="2" t="s">
        <v>40</v>
      </c>
      <c r="C82" s="6" t="s">
        <v>102</v>
      </c>
      <c r="D82" s="8" t="str">
        <f>IFERROR(IF(E82="Conferido",2,IF(E82="Revisão",1,IF(E82="Pendente",0,""))),"")</f>
        <v/>
      </c>
      <c r="E82" s="9"/>
    </row>
    <row r="83" spans="1:5" ht="14.85" customHeight="1" x14ac:dyDescent="0.25">
      <c r="A83" s="35"/>
      <c r="B83" s="2" t="s">
        <v>41</v>
      </c>
      <c r="C83" s="6" t="s">
        <v>103</v>
      </c>
      <c r="D83" s="8" t="str">
        <f>IFERROR(IF(E83="Conferido",2,IF(E83="Revisão",1,IF(E83="Pendente",0,""))),"")</f>
        <v/>
      </c>
      <c r="E83" s="9"/>
    </row>
    <row r="84" spans="1:5" ht="14.85" customHeight="1" x14ac:dyDescent="0.25">
      <c r="A84" s="36"/>
      <c r="B84" s="2" t="s">
        <v>42</v>
      </c>
      <c r="C84" s="6" t="s">
        <v>104</v>
      </c>
      <c r="D84" s="8" t="str">
        <f>IFERROR(IF(E84="Conferido",2,IF(E84="Revisão",1,IF(E84="Pendente",0,""))),"")</f>
        <v/>
      </c>
      <c r="E84" s="9"/>
    </row>
    <row r="85" spans="1:5" ht="14.85" customHeight="1" x14ac:dyDescent="0.25">
      <c r="A85" s="32" t="s">
        <v>30</v>
      </c>
      <c r="B85" s="33"/>
      <c r="C85" s="22" t="s">
        <v>106</v>
      </c>
      <c r="D85" s="23"/>
      <c r="E85" s="24" t="str">
        <f>ROUND(COUNTIF(E86:E99,"Conferido")*100/COUNTA(C86:C99),2)&amp;"% Completo"</f>
        <v>0% Completo</v>
      </c>
    </row>
    <row r="86" spans="1:5" ht="14.85" customHeight="1" x14ac:dyDescent="0.25">
      <c r="A86" s="34"/>
      <c r="B86" s="2" t="s">
        <v>37</v>
      </c>
      <c r="C86" s="4" t="s">
        <v>2</v>
      </c>
      <c r="D86" s="8" t="str">
        <f t="shared" ref="D86:D99" si="4">IFERROR(IF(E86="Conferido",2,IF(E86="Revisão",1,IF(E86="Pendente",0,""))),"")</f>
        <v/>
      </c>
      <c r="E86" s="9"/>
    </row>
    <row r="87" spans="1:5" ht="14.85" customHeight="1" x14ac:dyDescent="0.25">
      <c r="A87" s="35"/>
      <c r="B87" s="2" t="s">
        <v>40</v>
      </c>
      <c r="C87" s="4" t="s">
        <v>3</v>
      </c>
      <c r="D87" s="8" t="str">
        <f t="shared" si="4"/>
        <v/>
      </c>
      <c r="E87" s="9"/>
    </row>
    <row r="88" spans="1:5" ht="14.85" customHeight="1" x14ac:dyDescent="0.25">
      <c r="A88" s="35"/>
      <c r="B88" s="2" t="s">
        <v>41</v>
      </c>
      <c r="C88" s="4" t="s">
        <v>33</v>
      </c>
      <c r="D88" s="8" t="str">
        <f t="shared" si="4"/>
        <v/>
      </c>
      <c r="E88" s="9"/>
    </row>
    <row r="89" spans="1:5" ht="14.85" customHeight="1" x14ac:dyDescent="0.25">
      <c r="A89" s="35"/>
      <c r="B89" s="2" t="s">
        <v>42</v>
      </c>
      <c r="C89" s="4" t="s">
        <v>4</v>
      </c>
      <c r="D89" s="8" t="str">
        <f t="shared" si="4"/>
        <v/>
      </c>
      <c r="E89" s="9"/>
    </row>
    <row r="90" spans="1:5" ht="14.85" customHeight="1" x14ac:dyDescent="0.25">
      <c r="A90" s="35"/>
      <c r="B90" s="2" t="s">
        <v>43</v>
      </c>
      <c r="C90" s="4" t="s">
        <v>5</v>
      </c>
      <c r="D90" s="8" t="str">
        <f t="shared" si="4"/>
        <v/>
      </c>
      <c r="E90" s="9"/>
    </row>
    <row r="91" spans="1:5" ht="14.85" customHeight="1" x14ac:dyDescent="0.25">
      <c r="A91" s="35"/>
      <c r="B91" s="2" t="s">
        <v>44</v>
      </c>
      <c r="C91" s="4" t="s">
        <v>34</v>
      </c>
      <c r="D91" s="8" t="str">
        <f t="shared" si="4"/>
        <v/>
      </c>
      <c r="E91" s="9"/>
    </row>
    <row r="92" spans="1:5" ht="14.85" customHeight="1" x14ac:dyDescent="0.25">
      <c r="A92" s="35"/>
      <c r="B92" s="2" t="s">
        <v>58</v>
      </c>
      <c r="C92" s="4" t="s">
        <v>6</v>
      </c>
      <c r="D92" s="8" t="str">
        <f t="shared" si="4"/>
        <v/>
      </c>
      <c r="E92" s="9"/>
    </row>
    <row r="93" spans="1:5" ht="14.85" customHeight="1" x14ac:dyDescent="0.25">
      <c r="A93" s="35"/>
      <c r="B93" s="2" t="s">
        <v>65</v>
      </c>
      <c r="C93" s="4" t="s">
        <v>7</v>
      </c>
      <c r="D93" s="8" t="str">
        <f t="shared" si="4"/>
        <v/>
      </c>
      <c r="E93" s="9"/>
    </row>
    <row r="94" spans="1:5" ht="14.85" customHeight="1" x14ac:dyDescent="0.25">
      <c r="A94" s="35"/>
      <c r="B94" s="2" t="s">
        <v>107</v>
      </c>
      <c r="C94" s="4" t="s">
        <v>35</v>
      </c>
      <c r="D94" s="8" t="str">
        <f t="shared" si="4"/>
        <v/>
      </c>
      <c r="E94" s="9"/>
    </row>
    <row r="95" spans="1:5" ht="14.85" customHeight="1" x14ac:dyDescent="0.25">
      <c r="A95" s="35"/>
      <c r="B95" s="2" t="s">
        <v>108</v>
      </c>
      <c r="C95" s="4" t="s">
        <v>8</v>
      </c>
      <c r="D95" s="8" t="str">
        <f t="shared" si="4"/>
        <v/>
      </c>
      <c r="E95" s="9"/>
    </row>
    <row r="96" spans="1:5" ht="14.85" customHeight="1" x14ac:dyDescent="0.25">
      <c r="A96" s="35"/>
      <c r="B96" s="2" t="s">
        <v>109</v>
      </c>
      <c r="C96" s="4" t="s">
        <v>9</v>
      </c>
      <c r="D96" s="8" t="str">
        <f t="shared" si="4"/>
        <v/>
      </c>
      <c r="E96" s="9"/>
    </row>
    <row r="97" spans="1:5" ht="14.85" customHeight="1" x14ac:dyDescent="0.25">
      <c r="A97" s="35"/>
      <c r="B97" s="2" t="s">
        <v>110</v>
      </c>
      <c r="C97" s="4" t="s">
        <v>10</v>
      </c>
      <c r="D97" s="8" t="str">
        <f t="shared" si="4"/>
        <v/>
      </c>
      <c r="E97" s="9"/>
    </row>
    <row r="98" spans="1:5" ht="14.85" customHeight="1" x14ac:dyDescent="0.25">
      <c r="A98" s="35"/>
      <c r="B98" s="2" t="s">
        <v>111</v>
      </c>
      <c r="C98" s="4" t="s">
        <v>11</v>
      </c>
      <c r="D98" s="8" t="str">
        <f t="shared" si="4"/>
        <v/>
      </c>
      <c r="E98" s="9"/>
    </row>
    <row r="99" spans="1:5" ht="14.85" customHeight="1" x14ac:dyDescent="0.25">
      <c r="A99" s="36"/>
      <c r="B99" s="2" t="s">
        <v>112</v>
      </c>
      <c r="C99" s="4" t="s">
        <v>36</v>
      </c>
      <c r="D99" s="8" t="str">
        <f t="shared" si="4"/>
        <v/>
      </c>
      <c r="E99" s="9"/>
    </row>
  </sheetData>
  <mergeCells count="43">
    <mergeCell ref="A37:A40"/>
    <mergeCell ref="A30:A35"/>
    <mergeCell ref="A23:A28"/>
    <mergeCell ref="A18:A21"/>
    <mergeCell ref="A63:A66"/>
    <mergeCell ref="A58:A61"/>
    <mergeCell ref="A53:A56"/>
    <mergeCell ref="A49:A51"/>
    <mergeCell ref="A42:A47"/>
    <mergeCell ref="A41:B41"/>
    <mergeCell ref="A48:B48"/>
    <mergeCell ref="A52:B52"/>
    <mergeCell ref="A57:B57"/>
    <mergeCell ref="A62:B62"/>
    <mergeCell ref="A86:A99"/>
    <mergeCell ref="A81:A84"/>
    <mergeCell ref="A77:A79"/>
    <mergeCell ref="A72:A75"/>
    <mergeCell ref="A68:A70"/>
    <mergeCell ref="A2:B2"/>
    <mergeCell ref="C1:D2"/>
    <mergeCell ref="A3:B3"/>
    <mergeCell ref="A4:B4"/>
    <mergeCell ref="G7:I7"/>
    <mergeCell ref="A5:B5"/>
    <mergeCell ref="A6:B6"/>
    <mergeCell ref="C3:E3"/>
    <mergeCell ref="C4:E4"/>
    <mergeCell ref="C5:E5"/>
    <mergeCell ref="C6:E6"/>
    <mergeCell ref="A9:A16"/>
    <mergeCell ref="D7:E7"/>
    <mergeCell ref="A29:B29"/>
    <mergeCell ref="A7:B7"/>
    <mergeCell ref="A36:B36"/>
    <mergeCell ref="A8:B8"/>
    <mergeCell ref="A17:B17"/>
    <mergeCell ref="A22:B22"/>
    <mergeCell ref="A67:B67"/>
    <mergeCell ref="A71:B71"/>
    <mergeCell ref="A76:B76"/>
    <mergeCell ref="A80:B80"/>
    <mergeCell ref="A85:B85"/>
  </mergeCells>
  <conditionalFormatting sqref="D9">
    <cfRule type="iconSet" priority="77">
      <iconSet iconSet="3Symbols2">
        <cfvo type="percent" val="0"/>
        <cfvo type="num" val="1"/>
        <cfvo type="num" val="2"/>
      </iconSet>
    </cfRule>
  </conditionalFormatting>
  <conditionalFormatting sqref="D10:D16">
    <cfRule type="iconSet" priority="76">
      <iconSet iconSet="3Symbols2">
        <cfvo type="percent" val="0"/>
        <cfvo type="num" val="1"/>
        <cfvo type="num" val="2"/>
      </iconSet>
    </cfRule>
  </conditionalFormatting>
  <conditionalFormatting sqref="D18:D21">
    <cfRule type="iconSet" priority="75">
      <iconSet iconSet="3Symbols2">
        <cfvo type="percent" val="0"/>
        <cfvo type="num" val="1"/>
        <cfvo type="num" val="2"/>
      </iconSet>
    </cfRule>
  </conditionalFormatting>
  <conditionalFormatting sqref="D23:D28">
    <cfRule type="iconSet" priority="74">
      <iconSet iconSet="3Symbols2">
        <cfvo type="percent" val="0"/>
        <cfvo type="num" val="1"/>
        <cfvo type="num" val="2"/>
      </iconSet>
    </cfRule>
  </conditionalFormatting>
  <conditionalFormatting sqref="D30:D35">
    <cfRule type="iconSet" priority="73">
      <iconSet iconSet="3Symbols2">
        <cfvo type="percent" val="0"/>
        <cfvo type="num" val="1"/>
        <cfvo type="num" val="2"/>
      </iconSet>
    </cfRule>
  </conditionalFormatting>
  <conditionalFormatting sqref="D37:D40">
    <cfRule type="iconSet" priority="72">
      <iconSet iconSet="3Symbols2">
        <cfvo type="percent" val="0"/>
        <cfvo type="num" val="1"/>
        <cfvo type="num" val="2"/>
      </iconSet>
    </cfRule>
  </conditionalFormatting>
  <conditionalFormatting sqref="D42:D47">
    <cfRule type="iconSet" priority="71">
      <iconSet iconSet="3Symbols2">
        <cfvo type="percent" val="0"/>
        <cfvo type="num" val="1"/>
        <cfvo type="num" val="2"/>
      </iconSet>
    </cfRule>
  </conditionalFormatting>
  <conditionalFormatting sqref="D49:D51">
    <cfRule type="iconSet" priority="70">
      <iconSet iconSet="3Symbols2">
        <cfvo type="percent" val="0"/>
        <cfvo type="num" val="1"/>
        <cfvo type="num" val="2"/>
      </iconSet>
    </cfRule>
  </conditionalFormatting>
  <conditionalFormatting sqref="D53:D56">
    <cfRule type="iconSet" priority="69">
      <iconSet iconSet="3Symbols2">
        <cfvo type="percent" val="0"/>
        <cfvo type="num" val="1"/>
        <cfvo type="num" val="2"/>
      </iconSet>
    </cfRule>
  </conditionalFormatting>
  <conditionalFormatting sqref="D58:D61">
    <cfRule type="iconSet" priority="68">
      <iconSet iconSet="3Symbols2">
        <cfvo type="percent" val="0"/>
        <cfvo type="num" val="1"/>
        <cfvo type="num" val="2"/>
      </iconSet>
    </cfRule>
  </conditionalFormatting>
  <conditionalFormatting sqref="D63:D66">
    <cfRule type="iconSet" priority="67">
      <iconSet iconSet="3Symbols2">
        <cfvo type="percent" val="0"/>
        <cfvo type="num" val="1"/>
        <cfvo type="num" val="2"/>
      </iconSet>
    </cfRule>
  </conditionalFormatting>
  <conditionalFormatting sqref="D68:D70">
    <cfRule type="iconSet" priority="66">
      <iconSet iconSet="3Symbols2">
        <cfvo type="percent" val="0"/>
        <cfvo type="num" val="1"/>
        <cfvo type="num" val="2"/>
      </iconSet>
    </cfRule>
  </conditionalFormatting>
  <conditionalFormatting sqref="D72:D75">
    <cfRule type="iconSet" priority="65">
      <iconSet iconSet="3Symbols2">
        <cfvo type="percent" val="0"/>
        <cfvo type="num" val="1"/>
        <cfvo type="num" val="2"/>
      </iconSet>
    </cfRule>
  </conditionalFormatting>
  <conditionalFormatting sqref="D77:D79">
    <cfRule type="iconSet" priority="64">
      <iconSet iconSet="3Symbols2">
        <cfvo type="percent" val="0"/>
        <cfvo type="num" val="1"/>
        <cfvo type="num" val="2"/>
      </iconSet>
    </cfRule>
  </conditionalFormatting>
  <conditionalFormatting sqref="D81:D84">
    <cfRule type="iconSet" priority="63">
      <iconSet iconSet="3Symbols2">
        <cfvo type="percent" val="0"/>
        <cfvo type="num" val="1"/>
        <cfvo type="num" val="2"/>
      </iconSet>
    </cfRule>
  </conditionalFormatting>
  <conditionalFormatting sqref="D86:D99">
    <cfRule type="iconSet" priority="62">
      <iconSet iconSet="3Symbols2">
        <cfvo type="percent" val="0"/>
        <cfvo type="num" val="1"/>
        <cfvo type="num" val="2"/>
      </iconSet>
    </cfRule>
  </conditionalFormatting>
  <conditionalFormatting sqref="D17">
    <cfRule type="iconSet" priority="61">
      <iconSet iconSet="3Symbols2">
        <cfvo type="percent" val="0"/>
        <cfvo type="num" val="1"/>
        <cfvo type="num" val="2"/>
      </iconSet>
    </cfRule>
  </conditionalFormatting>
  <conditionalFormatting sqref="D22">
    <cfRule type="iconSet" priority="60">
      <iconSet iconSet="3Symbols2">
        <cfvo type="percent" val="0"/>
        <cfvo type="num" val="1"/>
        <cfvo type="num" val="2"/>
      </iconSet>
    </cfRule>
  </conditionalFormatting>
  <conditionalFormatting sqref="D29">
    <cfRule type="iconSet" priority="59">
      <iconSet iconSet="3Symbols2">
        <cfvo type="percent" val="0"/>
        <cfvo type="num" val="1"/>
        <cfvo type="num" val="2"/>
      </iconSet>
    </cfRule>
  </conditionalFormatting>
  <conditionalFormatting sqref="D36">
    <cfRule type="iconSet" priority="58">
      <iconSet iconSet="3Symbols2">
        <cfvo type="percent" val="0"/>
        <cfvo type="num" val="1"/>
        <cfvo type="num" val="2"/>
      </iconSet>
    </cfRule>
  </conditionalFormatting>
  <conditionalFormatting sqref="D41">
    <cfRule type="iconSet" priority="57">
      <iconSet iconSet="3Symbols2">
        <cfvo type="percent" val="0"/>
        <cfvo type="num" val="1"/>
        <cfvo type="num" val="2"/>
      </iconSet>
    </cfRule>
  </conditionalFormatting>
  <conditionalFormatting sqref="D48">
    <cfRule type="iconSet" priority="56">
      <iconSet iconSet="3Symbols2">
        <cfvo type="percent" val="0"/>
        <cfvo type="num" val="1"/>
        <cfvo type="num" val="2"/>
      </iconSet>
    </cfRule>
  </conditionalFormatting>
  <conditionalFormatting sqref="D52">
    <cfRule type="iconSet" priority="55">
      <iconSet iconSet="3Symbols2">
        <cfvo type="percent" val="0"/>
        <cfvo type="num" val="1"/>
        <cfvo type="num" val="2"/>
      </iconSet>
    </cfRule>
  </conditionalFormatting>
  <conditionalFormatting sqref="D57">
    <cfRule type="iconSet" priority="54">
      <iconSet iconSet="3Symbols2">
        <cfvo type="percent" val="0"/>
        <cfvo type="num" val="1"/>
        <cfvo type="num" val="2"/>
      </iconSet>
    </cfRule>
  </conditionalFormatting>
  <conditionalFormatting sqref="D62">
    <cfRule type="iconSet" priority="53">
      <iconSet iconSet="3Symbols2">
        <cfvo type="percent" val="0"/>
        <cfvo type="num" val="1"/>
        <cfvo type="num" val="2"/>
      </iconSet>
    </cfRule>
  </conditionalFormatting>
  <conditionalFormatting sqref="D67">
    <cfRule type="iconSet" priority="52">
      <iconSet iconSet="3Symbols2">
        <cfvo type="percent" val="0"/>
        <cfvo type="num" val="1"/>
        <cfvo type="num" val="2"/>
      </iconSet>
    </cfRule>
  </conditionalFormatting>
  <conditionalFormatting sqref="D71">
    <cfRule type="iconSet" priority="51">
      <iconSet iconSet="3Symbols2">
        <cfvo type="percent" val="0"/>
        <cfvo type="num" val="1"/>
        <cfvo type="num" val="2"/>
      </iconSet>
    </cfRule>
  </conditionalFormatting>
  <conditionalFormatting sqref="D76">
    <cfRule type="iconSet" priority="50">
      <iconSet iconSet="3Symbols2">
        <cfvo type="percent" val="0"/>
        <cfvo type="num" val="1"/>
        <cfvo type="num" val="2"/>
      </iconSet>
    </cfRule>
  </conditionalFormatting>
  <conditionalFormatting sqref="D80">
    <cfRule type="iconSet" priority="49">
      <iconSet iconSet="3Symbols2">
        <cfvo type="percent" val="0"/>
        <cfvo type="num" val="1"/>
        <cfvo type="num" val="2"/>
      </iconSet>
    </cfRule>
  </conditionalFormatting>
  <conditionalFormatting sqref="D85">
    <cfRule type="iconSet" priority="48">
      <iconSet iconSet="3Symbols2">
        <cfvo type="percent" val="0"/>
        <cfvo type="num" val="1"/>
        <cfvo type="num" val="2"/>
      </iconSet>
    </cfRule>
  </conditionalFormatting>
  <conditionalFormatting sqref="A17:E17">
    <cfRule type="expression" dxfId="44" priority="22">
      <formula>$H$10=0</formula>
    </cfRule>
    <cfRule type="expression" dxfId="43" priority="23">
      <formula>$H$10&lt;4</formula>
    </cfRule>
    <cfRule type="expression" dxfId="42" priority="24">
      <formula>$H$10=4</formula>
    </cfRule>
  </conditionalFormatting>
  <conditionalFormatting sqref="A8:E8">
    <cfRule type="expression" dxfId="41" priority="78">
      <formula>$H$9=0</formula>
    </cfRule>
    <cfRule type="expression" dxfId="40" priority="79">
      <formula>$H$9&lt;8</formula>
    </cfRule>
    <cfRule type="expression" dxfId="39" priority="80">
      <formula>$H$9=8</formula>
    </cfRule>
  </conditionalFormatting>
  <conditionalFormatting sqref="A22:E22">
    <cfRule type="expression" dxfId="38" priority="84">
      <formula>$H$11=0</formula>
    </cfRule>
    <cfRule type="expression" dxfId="37" priority="85">
      <formula>$H$11&lt;6</formula>
    </cfRule>
    <cfRule type="expression" dxfId="36" priority="86">
      <formula>$H$11=6</formula>
    </cfRule>
  </conditionalFormatting>
  <conditionalFormatting sqref="A29:E29">
    <cfRule type="expression" dxfId="35" priority="87">
      <formula>$H$12=0</formula>
    </cfRule>
    <cfRule type="expression" dxfId="34" priority="88">
      <formula>$H$12&lt;6</formula>
    </cfRule>
    <cfRule type="expression" dxfId="33" priority="89">
      <formula>$H$12=6</formula>
    </cfRule>
  </conditionalFormatting>
  <conditionalFormatting sqref="A36:E36">
    <cfRule type="expression" dxfId="32" priority="90">
      <formula>$H$13=0</formula>
    </cfRule>
    <cfRule type="expression" dxfId="31" priority="91">
      <formula>$H$13&lt;4</formula>
    </cfRule>
    <cfRule type="expression" dxfId="30" priority="92">
      <formula>$H$13=4</formula>
    </cfRule>
  </conditionalFormatting>
  <conditionalFormatting sqref="A41:E41">
    <cfRule type="expression" dxfId="29" priority="93">
      <formula>$H$14=0</formula>
    </cfRule>
    <cfRule type="expression" dxfId="28" priority="94">
      <formula>$H$14&lt;6</formula>
    </cfRule>
    <cfRule type="expression" dxfId="27" priority="95">
      <formula>$H$14=6</formula>
    </cfRule>
  </conditionalFormatting>
  <conditionalFormatting sqref="A48:E48">
    <cfRule type="expression" dxfId="26" priority="96">
      <formula>$H$15=0</formula>
    </cfRule>
    <cfRule type="expression" dxfId="25" priority="97">
      <formula>$H$15&lt;3</formula>
    </cfRule>
    <cfRule type="expression" dxfId="24" priority="98">
      <formula>$H$15=3</formula>
    </cfRule>
  </conditionalFormatting>
  <conditionalFormatting sqref="A52:E52">
    <cfRule type="expression" dxfId="23" priority="99">
      <formula>$H$16=0</formula>
    </cfRule>
    <cfRule type="expression" dxfId="22" priority="100">
      <formula>$H$16&lt;4</formula>
    </cfRule>
    <cfRule type="expression" dxfId="21" priority="101">
      <formula>$H$16=4</formula>
    </cfRule>
  </conditionalFormatting>
  <conditionalFormatting sqref="A57:E57">
    <cfRule type="expression" dxfId="20" priority="102">
      <formula>$H$17=0</formula>
    </cfRule>
    <cfRule type="expression" dxfId="19" priority="103">
      <formula>$H$17&lt;4</formula>
    </cfRule>
    <cfRule type="expression" dxfId="18" priority="104">
      <formula>$H$17=4</formula>
    </cfRule>
  </conditionalFormatting>
  <conditionalFormatting sqref="A62:E62">
    <cfRule type="expression" dxfId="17" priority="105">
      <formula>$H$18=0</formula>
    </cfRule>
    <cfRule type="expression" dxfId="16" priority="106">
      <formula>$H$18&lt;4</formula>
    </cfRule>
    <cfRule type="expression" dxfId="15" priority="107">
      <formula>$H$18=4</formula>
    </cfRule>
  </conditionalFormatting>
  <conditionalFormatting sqref="A67:E67">
    <cfRule type="expression" dxfId="14" priority="108">
      <formula>$H$19=0</formula>
    </cfRule>
    <cfRule type="expression" dxfId="13" priority="109">
      <formula>$H$19&lt;3</formula>
    </cfRule>
    <cfRule type="expression" dxfId="12" priority="110">
      <formula>$H$19=3</formula>
    </cfRule>
  </conditionalFormatting>
  <conditionalFormatting sqref="A71:E71">
    <cfRule type="expression" dxfId="11" priority="12">
      <formula>$H$20=4</formula>
    </cfRule>
    <cfRule type="expression" dxfId="10" priority="11">
      <formula>$H$20&lt;4</formula>
    </cfRule>
    <cfRule type="expression" dxfId="9" priority="10">
      <formula>$H$20=0</formula>
    </cfRule>
  </conditionalFormatting>
  <conditionalFormatting sqref="A76:E76">
    <cfRule type="expression" dxfId="8" priority="9">
      <formula>$H$21=3</formula>
    </cfRule>
    <cfRule type="expression" dxfId="7" priority="8">
      <formula>$H$21&lt;3</formula>
    </cfRule>
    <cfRule type="expression" dxfId="6" priority="7">
      <formula>$H$21=0</formula>
    </cfRule>
  </conditionalFormatting>
  <conditionalFormatting sqref="A80:E80">
    <cfRule type="expression" dxfId="5" priority="6">
      <formula>$H$22=4</formula>
    </cfRule>
    <cfRule type="expression" dxfId="4" priority="5">
      <formula>$H$22&lt;4</formula>
    </cfRule>
    <cfRule type="expression" dxfId="3" priority="4">
      <formula>$H$22=0</formula>
    </cfRule>
  </conditionalFormatting>
  <conditionalFormatting sqref="A85:E85">
    <cfRule type="expression" dxfId="2" priority="3">
      <formula>$H$23=14</formula>
    </cfRule>
    <cfRule type="expression" dxfId="1" priority="2">
      <formula>$H$23&lt;14</formula>
    </cfRule>
    <cfRule type="expression" dxfId="0" priority="1">
      <formula>$H$23=0</formula>
    </cfRule>
  </conditionalFormatting>
  <dataValidations count="1">
    <dataValidation type="list" allowBlank="1" showInputMessage="1" showErrorMessage="1" sqref="E86:E99 E18:E21 E23:E28 E30:E35 E37:E40 E42:E47 E49:E51 E53:E56 E58:E61 E63:E66 E68:E70 E72:E75 E77:E79 E81:E84 E9:E16" xr:uid="{40955C01-608B-4D1F-93C1-E4FB334BEA2C}">
      <formula1>Avaliação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735B2-4A0B-420E-BD30-DC461448B172}">
  <sheetPr codeName="Planilha4"/>
  <dimension ref="A1:A3"/>
  <sheetViews>
    <sheetView workbookViewId="0">
      <selection activeCell="H7" sqref="H7"/>
    </sheetView>
  </sheetViews>
  <sheetFormatPr defaultRowHeight="15" x14ac:dyDescent="0.25"/>
  <cols>
    <col min="1" max="1" width="9.140625" customWidth="1"/>
  </cols>
  <sheetData>
    <row r="1" spans="1:1" x14ac:dyDescent="0.25">
      <c r="A1" t="s">
        <v>15</v>
      </c>
    </row>
    <row r="2" spans="1:1" x14ac:dyDescent="0.25">
      <c r="A2" t="s">
        <v>114</v>
      </c>
    </row>
    <row r="3" spans="1:1" x14ac:dyDescent="0.25">
      <c r="A3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Lista de Conferencia</vt:lpstr>
      <vt:lpstr>Lista</vt:lpstr>
      <vt:lpstr>'Lista de Conferencia'!Area_de_impressao</vt:lpstr>
      <vt:lpstr>Avaliação</vt:lpstr>
      <vt:lpstr>'Lista de Conferencia'!Titulos_de_impressao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Aldrin Rocha</dc:creator>
  <cp:lastModifiedBy>Hilton Rocha</cp:lastModifiedBy>
  <cp:lastPrinted>2019-07-31T21:13:57Z</cp:lastPrinted>
  <dcterms:created xsi:type="dcterms:W3CDTF">2019-07-31T11:17:22Z</dcterms:created>
  <dcterms:modified xsi:type="dcterms:W3CDTF">2019-08-02T03:10:45Z</dcterms:modified>
</cp:coreProperties>
</file>